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13_ncr:1_{F39087A7-7E9E-4415-9B8C-B8DDC4E10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shboard" sheetId="1" r:id="rId1"/>
    <sheet name="Clean data" sheetId="2" r:id="rId2"/>
    <sheet name="Pivot Tables" sheetId="3" r:id="rId3"/>
    <sheet name="Dashboard" sheetId="4" r:id="rId4"/>
  </sheets>
  <definedNames>
    <definedName name="Dashboard">Table3[]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4" l="1"/>
  <c r="L18" i="4"/>
</calcChain>
</file>

<file path=xl/sharedStrings.xml><?xml version="1.0" encoding="utf-8"?>
<sst xmlns="http://schemas.openxmlformats.org/spreadsheetml/2006/main" count="2692" uniqueCount="495">
  <si>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</si>
  <si>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</si>
  <si>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</si>
  <si>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</si>
  <si>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</si>
  <si>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</si>
  <si>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</si>
  <si>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</si>
  <si>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</si>
  <si>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</si>
  <si>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</si>
  <si>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</si>
  <si>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Sales</t>
  </si>
  <si>
    <t>Quantity</t>
  </si>
  <si>
    <t>Discount</t>
  </si>
  <si>
    <t>Profit</t>
  </si>
  <si>
    <t>Salesperson</t>
  </si>
  <si>
    <t>Order_Priority</t>
  </si>
  <si>
    <t>ORD0001</t>
  </si>
  <si>
    <t>CUST9340</t>
  </si>
  <si>
    <t>Customer 1</t>
  </si>
  <si>
    <t>Corporate</t>
  </si>
  <si>
    <t>West</t>
  </si>
  <si>
    <t>California</t>
  </si>
  <si>
    <t>New York City</t>
  </si>
  <si>
    <t>Furniture</t>
  </si>
  <si>
    <t>Chairs</t>
  </si>
  <si>
    <t>Product 3</t>
  </si>
  <si>
    <t>Emma</t>
  </si>
  <si>
    <t>High</t>
  </si>
  <si>
    <t>ORD0002</t>
  </si>
  <si>
    <t>CUST9705</t>
  </si>
  <si>
    <t>Customer 2</t>
  </si>
  <si>
    <t>East</t>
  </si>
  <si>
    <t>Texas</t>
  </si>
  <si>
    <t>Los Angeles</t>
  </si>
  <si>
    <t>Technology</t>
  </si>
  <si>
    <t>Product 26</t>
  </si>
  <si>
    <t>Medium</t>
  </si>
  <si>
    <t>ORD0003</t>
  </si>
  <si>
    <t>6/16/2016</t>
  </si>
  <si>
    <t>CUST4273</t>
  </si>
  <si>
    <t>Customer 3</t>
  </si>
  <si>
    <t>Consumer</t>
  </si>
  <si>
    <t>Florida</t>
  </si>
  <si>
    <t>Storage</t>
  </si>
  <si>
    <t>Product 31</t>
  </si>
  <si>
    <t>Olivia</t>
  </si>
  <si>
    <t>Critical</t>
  </si>
  <si>
    <t>ORD0004</t>
  </si>
  <si>
    <t>10/18/2015</t>
  </si>
  <si>
    <t>CUST5155</t>
  </si>
  <si>
    <t>Customer 4</t>
  </si>
  <si>
    <t>Home Office</t>
  </si>
  <si>
    <t>South</t>
  </si>
  <si>
    <t>Chicago</t>
  </si>
  <si>
    <t>Phones</t>
  </si>
  <si>
    <t>Product 33</t>
  </si>
  <si>
    <t>Liam</t>
  </si>
  <si>
    <t>ORD0005</t>
  </si>
  <si>
    <t>CUST5111</t>
  </si>
  <si>
    <t>Customer 5</t>
  </si>
  <si>
    <t>Central</t>
  </si>
  <si>
    <t>Illinois</t>
  </si>
  <si>
    <t>Miami</t>
  </si>
  <si>
    <t>Binders</t>
  </si>
  <si>
    <t>Product 38</t>
  </si>
  <si>
    <t>Ava</t>
  </si>
  <si>
    <t>ORD0006</t>
  </si>
  <si>
    <t>6/14/2014</t>
  </si>
  <si>
    <t>CUST1687</t>
  </si>
  <si>
    <t>Customer 6</t>
  </si>
  <si>
    <t>Product 29</t>
  </si>
  <si>
    <t>ORD0007</t>
  </si>
  <si>
    <t>CUST1727</t>
  </si>
  <si>
    <t>Customer 7</t>
  </si>
  <si>
    <t>Houston</t>
  </si>
  <si>
    <t>Tables</t>
  </si>
  <si>
    <t>Product 9</t>
  </si>
  <si>
    <t>ORD0008</t>
  </si>
  <si>
    <t>CUST6857</t>
  </si>
  <si>
    <t>Customer 8</t>
  </si>
  <si>
    <t>Product 41</t>
  </si>
  <si>
    <t>Low</t>
  </si>
  <si>
    <t>ORD0009</t>
  </si>
  <si>
    <t>CUST8060</t>
  </si>
  <si>
    <t>Customer 9</t>
  </si>
  <si>
    <t>Product 40</t>
  </si>
  <si>
    <t>ORD0010</t>
  </si>
  <si>
    <t>CUST2544</t>
  </si>
  <si>
    <t>Customer 10</t>
  </si>
  <si>
    <t>Product 16</t>
  </si>
  <si>
    <t>ORD0011</t>
  </si>
  <si>
    <t>CUST6531</t>
  </si>
  <si>
    <t>Customer 11</t>
  </si>
  <si>
    <t>New York</t>
  </si>
  <si>
    <t>Product 1</t>
  </si>
  <si>
    <t>ORD0012</t>
  </si>
  <si>
    <t>CUST2388</t>
  </si>
  <si>
    <t>Customer 12</t>
  </si>
  <si>
    <t>Noah</t>
  </si>
  <si>
    <t>ORD0013</t>
  </si>
  <si>
    <t>4/15/2017</t>
  </si>
  <si>
    <t>4/20/2017</t>
  </si>
  <si>
    <t>CUST3069</t>
  </si>
  <si>
    <t>Customer 13</t>
  </si>
  <si>
    <t>Product 47</t>
  </si>
  <si>
    <t>ORD0014</t>
  </si>
  <si>
    <t>CUST7889</t>
  </si>
  <si>
    <t>Customer 14</t>
  </si>
  <si>
    <t>Office Supplies</t>
  </si>
  <si>
    <t>Product 18</t>
  </si>
  <si>
    <t>ORD0015</t>
  </si>
  <si>
    <t>11/22/2015</t>
  </si>
  <si>
    <t>11/26/2015</t>
  </si>
  <si>
    <t>CUST3482</t>
  </si>
  <si>
    <t>Customer 15</t>
  </si>
  <si>
    <t>ORD0016</t>
  </si>
  <si>
    <t>CUST5457</t>
  </si>
  <si>
    <t>Customer 16</t>
  </si>
  <si>
    <t>Product 28</t>
  </si>
  <si>
    <t>ORD0017</t>
  </si>
  <si>
    <t>11/18/2014</t>
  </si>
  <si>
    <t>CUST5255</t>
  </si>
  <si>
    <t>Customer 17</t>
  </si>
  <si>
    <t>ORD0018</t>
  </si>
  <si>
    <t>5/13/2014</t>
  </si>
  <si>
    <t>5/15/2014</t>
  </si>
  <si>
    <t>CUST5480</t>
  </si>
  <si>
    <t>Customer 18</t>
  </si>
  <si>
    <t>Product 39</t>
  </si>
  <si>
    <t>ORD0019</t>
  </si>
  <si>
    <t>8/27/2014</t>
  </si>
  <si>
    <t>CUST9417</t>
  </si>
  <si>
    <t>Customer 19</t>
  </si>
  <si>
    <t>Product 49</t>
  </si>
  <si>
    <t>ORD0020</t>
  </si>
  <si>
    <t>CUST4184</t>
  </si>
  <si>
    <t>Customer 20</t>
  </si>
  <si>
    <t>Product 48</t>
  </si>
  <si>
    <t>ORD0021</t>
  </si>
  <si>
    <t>CUST4487</t>
  </si>
  <si>
    <t>Customer 21</t>
  </si>
  <si>
    <t>ORD0022</t>
  </si>
  <si>
    <t>12/13/2016</t>
  </si>
  <si>
    <t>CUST1432</t>
  </si>
  <si>
    <t>Customer 22</t>
  </si>
  <si>
    <t>Product 13</t>
  </si>
  <si>
    <t>ORD0023</t>
  </si>
  <si>
    <t>CUST5762</t>
  </si>
  <si>
    <t>Customer 23</t>
  </si>
  <si>
    <t>Product 44</t>
  </si>
  <si>
    <t>ORD0024</t>
  </si>
  <si>
    <t>7/16/2017</t>
  </si>
  <si>
    <t>7/18/2017</t>
  </si>
  <si>
    <t>CUST2013</t>
  </si>
  <si>
    <t>Customer 24</t>
  </si>
  <si>
    <t>Product 4</t>
  </si>
  <si>
    <t>ORD0025</t>
  </si>
  <si>
    <t>9/25/2015</t>
  </si>
  <si>
    <t>9/30/2015</t>
  </si>
  <si>
    <t>CUST2537</t>
  </si>
  <si>
    <t>Customer 25</t>
  </si>
  <si>
    <t>Product 2</t>
  </si>
  <si>
    <t>ORD0026</t>
  </si>
  <si>
    <t>1/16/2016</t>
  </si>
  <si>
    <t>1/20/2016</t>
  </si>
  <si>
    <t>CUST7672</t>
  </si>
  <si>
    <t>Customer 26</t>
  </si>
  <si>
    <t>ORD0027</t>
  </si>
  <si>
    <t>CUST7871</t>
  </si>
  <si>
    <t>Customer 27</t>
  </si>
  <si>
    <t>Product 30</t>
  </si>
  <si>
    <t>ORD0028</t>
  </si>
  <si>
    <t>9/17/2015</t>
  </si>
  <si>
    <t>9/21/2015</t>
  </si>
  <si>
    <t>CUST3209</t>
  </si>
  <si>
    <t>Customer 28</t>
  </si>
  <si>
    <t>ORD0029</t>
  </si>
  <si>
    <t>CUST9516</t>
  </si>
  <si>
    <t>Customer 29</t>
  </si>
  <si>
    <t>ORD0030</t>
  </si>
  <si>
    <t>CUST6101</t>
  </si>
  <si>
    <t>Customer 30</t>
  </si>
  <si>
    <t>Product 24</t>
  </si>
  <si>
    <t>ORD0031</t>
  </si>
  <si>
    <t>CUST7538</t>
  </si>
  <si>
    <t>Customer 31</t>
  </si>
  <si>
    <t>Product 17</t>
  </si>
  <si>
    <t>ORD0032</t>
  </si>
  <si>
    <t>CUST6262</t>
  </si>
  <si>
    <t>Customer 32</t>
  </si>
  <si>
    <t>ORD0033</t>
  </si>
  <si>
    <t>CUST2377</t>
  </si>
  <si>
    <t>Customer 33</t>
  </si>
  <si>
    <t>Product 42</t>
  </si>
  <si>
    <t>ORD0034</t>
  </si>
  <si>
    <t>CUST5504</t>
  </si>
  <si>
    <t>Customer 34</t>
  </si>
  <si>
    <t>ORD0035</t>
  </si>
  <si>
    <t>10/19/2017</t>
  </si>
  <si>
    <t>10/23/2017</t>
  </si>
  <si>
    <t>CUST1603</t>
  </si>
  <si>
    <t>Customer 35</t>
  </si>
  <si>
    <t>Product 43</t>
  </si>
  <si>
    <t>ORD0036</t>
  </si>
  <si>
    <t>CUST9072</t>
  </si>
  <si>
    <t>Customer 36</t>
  </si>
  <si>
    <t>Product 7</t>
  </si>
  <si>
    <t>ORD0037</t>
  </si>
  <si>
    <t>CUST5197</t>
  </si>
  <si>
    <t>Customer 37</t>
  </si>
  <si>
    <t>Product 25</t>
  </si>
  <si>
    <t>ORD0038</t>
  </si>
  <si>
    <t>12/27/2015</t>
  </si>
  <si>
    <t>12/31/2015</t>
  </si>
  <si>
    <t>CUST6808</t>
  </si>
  <si>
    <t>Customer 38</t>
  </si>
  <si>
    <t>Product 15</t>
  </si>
  <si>
    <t>ORD0039</t>
  </si>
  <si>
    <t>CUST8283</t>
  </si>
  <si>
    <t>Customer 39</t>
  </si>
  <si>
    <t>ORD0040</t>
  </si>
  <si>
    <t>CUST9796</t>
  </si>
  <si>
    <t>Customer 40</t>
  </si>
  <si>
    <t>Product 19</t>
  </si>
  <si>
    <t>ORD0041</t>
  </si>
  <si>
    <t>CUST5838</t>
  </si>
  <si>
    <t>Customer 41</t>
  </si>
  <si>
    <t>Product 32</t>
  </si>
  <si>
    <t>ORD0042</t>
  </si>
  <si>
    <t>9/15/2017</t>
  </si>
  <si>
    <t>CUST4596</t>
  </si>
  <si>
    <t>Customer 42</t>
  </si>
  <si>
    <t>ORD0043</t>
  </si>
  <si>
    <t>7/17/2016</t>
  </si>
  <si>
    <t>7/22/2016</t>
  </si>
  <si>
    <t>CUST5113</t>
  </si>
  <si>
    <t>Customer 43</t>
  </si>
  <si>
    <t>Product 10</t>
  </si>
  <si>
    <t>ORD0044</t>
  </si>
  <si>
    <t>9/19/2017</t>
  </si>
  <si>
    <t>9/23/2017</t>
  </si>
  <si>
    <t>CUST4653</t>
  </si>
  <si>
    <t>Customer 44</t>
  </si>
  <si>
    <t>ORD0045</t>
  </si>
  <si>
    <t>3/13/2016</t>
  </si>
  <si>
    <t>CUST1195</t>
  </si>
  <si>
    <t>Customer 45</t>
  </si>
  <si>
    <t>ORD0046</t>
  </si>
  <si>
    <t>CUST6682</t>
  </si>
  <si>
    <t>Customer 46</t>
  </si>
  <si>
    <t>ORD0047</t>
  </si>
  <si>
    <t>10/20/2014</t>
  </si>
  <si>
    <t>10/25/2014</t>
  </si>
  <si>
    <t>CUST9557</t>
  </si>
  <si>
    <t>Customer 47</t>
  </si>
  <si>
    <t>ORD0048</t>
  </si>
  <si>
    <t>6/20/2016</t>
  </si>
  <si>
    <t>6/25/2016</t>
  </si>
  <si>
    <t>CUST5362</t>
  </si>
  <si>
    <t>Customer 48</t>
  </si>
  <si>
    <t>Product 20</t>
  </si>
  <si>
    <t>ORD0049</t>
  </si>
  <si>
    <t>CUST2294</t>
  </si>
  <si>
    <t>Customer 49</t>
  </si>
  <si>
    <t>ORD0050</t>
  </si>
  <si>
    <t>4/18/2015</t>
  </si>
  <si>
    <t>4/22/2015</t>
  </si>
  <si>
    <t>CUST7946</t>
  </si>
  <si>
    <t>Customer 50</t>
  </si>
  <si>
    <t>ORD0051</t>
  </si>
  <si>
    <t>CUST9380</t>
  </si>
  <si>
    <t>Customer 51</t>
  </si>
  <si>
    <t>ORD0052</t>
  </si>
  <si>
    <t>CUST9208</t>
  </si>
  <si>
    <t>Customer 52</t>
  </si>
  <si>
    <t>Product 35</t>
  </si>
  <si>
    <t>ORD0053</t>
  </si>
  <si>
    <t>CUST7328</t>
  </si>
  <si>
    <t>Customer 53</t>
  </si>
  <si>
    <t>Product 12</t>
  </si>
  <si>
    <t>ORD0054</t>
  </si>
  <si>
    <t>12/17/2016</t>
  </si>
  <si>
    <t>CUST2719</t>
  </si>
  <si>
    <t>Customer 54</t>
  </si>
  <si>
    <t>ORD0055</t>
  </si>
  <si>
    <t>CUST5286</t>
  </si>
  <si>
    <t>Customer 55</t>
  </si>
  <si>
    <t>ORD0056</t>
  </si>
  <si>
    <t>6/17/2016</t>
  </si>
  <si>
    <t>6/18/2016</t>
  </si>
  <si>
    <t>CUST6015</t>
  </si>
  <si>
    <t>Customer 56</t>
  </si>
  <si>
    <t>ORD0057</t>
  </si>
  <si>
    <t>CUST9289</t>
  </si>
  <si>
    <t>Customer 57</t>
  </si>
  <si>
    <t>ORD0058</t>
  </si>
  <si>
    <t>CUST2069</t>
  </si>
  <si>
    <t>Customer 58</t>
  </si>
  <si>
    <t>ORD0059</t>
  </si>
  <si>
    <t>CUST3480</t>
  </si>
  <si>
    <t>Customer 59</t>
  </si>
  <si>
    <t>Product 34</t>
  </si>
  <si>
    <t>ORD0060</t>
  </si>
  <si>
    <t>CUST6025</t>
  </si>
  <si>
    <t>Customer 60</t>
  </si>
  <si>
    <t>ORD0061</t>
  </si>
  <si>
    <t>CUST5993</t>
  </si>
  <si>
    <t>Customer 61</t>
  </si>
  <si>
    <t>Product 27</t>
  </si>
  <si>
    <t>ORD0062</t>
  </si>
  <si>
    <t>CUST5195</t>
  </si>
  <si>
    <t>Customer 62</t>
  </si>
  <si>
    <t>ORD0063</t>
  </si>
  <si>
    <t>11/24/2015</t>
  </si>
  <si>
    <t>11/30/2015</t>
  </si>
  <si>
    <t>CUST6882</t>
  </si>
  <si>
    <t>Customer 63</t>
  </si>
  <si>
    <t>ORD0064</t>
  </si>
  <si>
    <t>CUST2762</t>
  </si>
  <si>
    <t>Customer 64</t>
  </si>
  <si>
    <t>Product 37</t>
  </si>
  <si>
    <t>ORD0065</t>
  </si>
  <si>
    <t>CUST8707</t>
  </si>
  <si>
    <t>Customer 65</t>
  </si>
  <si>
    <t>Product 5</t>
  </si>
  <si>
    <t>ORD0066</t>
  </si>
  <si>
    <t>CUST6718</t>
  </si>
  <si>
    <t>Customer 66</t>
  </si>
  <si>
    <t>ORD0067</t>
  </si>
  <si>
    <t>4/30/2015</t>
  </si>
  <si>
    <t>CUST3424</t>
  </si>
  <si>
    <t>Customer 67</t>
  </si>
  <si>
    <t>ORD0068</t>
  </si>
  <si>
    <t>CUST7846</t>
  </si>
  <si>
    <t>Customer 68</t>
  </si>
  <si>
    <t>ORD0069</t>
  </si>
  <si>
    <t>CUST6997</t>
  </si>
  <si>
    <t>Customer 69</t>
  </si>
  <si>
    <t>ORD0070</t>
  </si>
  <si>
    <t>CUST6218</t>
  </si>
  <si>
    <t>Customer 70</t>
  </si>
  <si>
    <t>Product 21</t>
  </si>
  <si>
    <t>ORD0071</t>
  </si>
  <si>
    <t>9/18/2016</t>
  </si>
  <si>
    <t>9/23/2016</t>
  </si>
  <si>
    <t>CUST7170</t>
  </si>
  <si>
    <t>Customer 71</t>
  </si>
  <si>
    <t>ORD0072</t>
  </si>
  <si>
    <t>9/14/2017</t>
  </si>
  <si>
    <t>9/17/2017</t>
  </si>
  <si>
    <t>CUST9997</t>
  </si>
  <si>
    <t>Customer 72</t>
  </si>
  <si>
    <t>ORD0073</t>
  </si>
  <si>
    <t>4/26/2015</t>
  </si>
  <si>
    <t>CUST3363</t>
  </si>
  <si>
    <t>Customer 73</t>
  </si>
  <si>
    <t>ORD0074</t>
  </si>
  <si>
    <t>CUST1540</t>
  </si>
  <si>
    <t>Customer 74</t>
  </si>
  <si>
    <t>ORD0075</t>
  </si>
  <si>
    <t>CUST2661</t>
  </si>
  <si>
    <t>Customer 75</t>
  </si>
  <si>
    <t>ORD0076</t>
  </si>
  <si>
    <t>CUST8386</t>
  </si>
  <si>
    <t>Customer 76</t>
  </si>
  <si>
    <t>ORD0077</t>
  </si>
  <si>
    <t>CUST7894</t>
  </si>
  <si>
    <t>Customer 77</t>
  </si>
  <si>
    <t>ORD0078</t>
  </si>
  <si>
    <t>CUST9951</t>
  </si>
  <si>
    <t>Customer 78</t>
  </si>
  <si>
    <t>ORD0079</t>
  </si>
  <si>
    <t>11/26/2014</t>
  </si>
  <si>
    <t>CUST5637</t>
  </si>
  <si>
    <t>Customer 79</t>
  </si>
  <si>
    <t>Product 11</t>
  </si>
  <si>
    <t>ORD0080</t>
  </si>
  <si>
    <t>6/15/2016</t>
  </si>
  <si>
    <t>CUST4065</t>
  </si>
  <si>
    <t>Customer 80</t>
  </si>
  <si>
    <t>ORD0081</t>
  </si>
  <si>
    <t>CUST5326</t>
  </si>
  <si>
    <t>Customer 81</t>
  </si>
  <si>
    <t>ORD0082</t>
  </si>
  <si>
    <t>10/16/2014</t>
  </si>
  <si>
    <t>CUST7970</t>
  </si>
  <si>
    <t>Customer 82</t>
  </si>
  <si>
    <t>Product 8</t>
  </si>
  <si>
    <t>ORD0083</t>
  </si>
  <si>
    <t>CUST9958</t>
  </si>
  <si>
    <t>Customer 83</t>
  </si>
  <si>
    <t>ORD0084</t>
  </si>
  <si>
    <t>CUST7806</t>
  </si>
  <si>
    <t>Customer 84</t>
  </si>
  <si>
    <t>ORD0085</t>
  </si>
  <si>
    <t>11/13/2017</t>
  </si>
  <si>
    <t>11/16/2017</t>
  </si>
  <si>
    <t>CUST7298</t>
  </si>
  <si>
    <t>Customer 85</t>
  </si>
  <si>
    <t>ORD0086</t>
  </si>
  <si>
    <t>5/28/2017</t>
  </si>
  <si>
    <t>5/30/2017</t>
  </si>
  <si>
    <t>CUST7635</t>
  </si>
  <si>
    <t>Customer 86</t>
  </si>
  <si>
    <t>ORD0087</t>
  </si>
  <si>
    <t>10/26/2017</t>
  </si>
  <si>
    <t>CUST7580</t>
  </si>
  <si>
    <t>Customer 87</t>
  </si>
  <si>
    <t>ORD0088</t>
  </si>
  <si>
    <t>CUST2411</t>
  </si>
  <si>
    <t>Customer 88</t>
  </si>
  <si>
    <t>ORD0089</t>
  </si>
  <si>
    <t>CUST8873</t>
  </si>
  <si>
    <t>Customer 89</t>
  </si>
  <si>
    <t>ORD0090</t>
  </si>
  <si>
    <t>9/17/2016</t>
  </si>
  <si>
    <t>9/22/2016</t>
  </si>
  <si>
    <t>CUST9301</t>
  </si>
  <si>
    <t>Customer 90</t>
  </si>
  <si>
    <t>Product 50</t>
  </si>
  <si>
    <t>ORD0091</t>
  </si>
  <si>
    <t>CUST6850</t>
  </si>
  <si>
    <t>Customer 91</t>
  </si>
  <si>
    <t>ORD0092</t>
  </si>
  <si>
    <t>Customer 92</t>
  </si>
  <si>
    <t>ORD0093</t>
  </si>
  <si>
    <t>1/31/2015</t>
  </si>
  <si>
    <t>Customer 93</t>
  </si>
  <si>
    <t>ORD0094</t>
  </si>
  <si>
    <t>CUST9920</t>
  </si>
  <si>
    <t>Customer 94</t>
  </si>
  <si>
    <t>ORD0095</t>
  </si>
  <si>
    <t>CUST4573</t>
  </si>
  <si>
    <t>Customer 95</t>
  </si>
  <si>
    <t>ORD0096</t>
  </si>
  <si>
    <t>CUST9300</t>
  </si>
  <si>
    <t>Customer 96</t>
  </si>
  <si>
    <t>Product 6</t>
  </si>
  <si>
    <t>ORD0097</t>
  </si>
  <si>
    <t>CUST6455</t>
  </si>
  <si>
    <t>Customer 97</t>
  </si>
  <si>
    <t>ORD0098</t>
  </si>
  <si>
    <t>6/17/2017</t>
  </si>
  <si>
    <t>6/20/2017</t>
  </si>
  <si>
    <t>CUST6224</t>
  </si>
  <si>
    <t>Customer 98</t>
  </si>
  <si>
    <t>ORD0099</t>
  </si>
  <si>
    <t>CUST2668</t>
  </si>
  <si>
    <t>Customer 99</t>
  </si>
  <si>
    <t>ORD0100</t>
  </si>
  <si>
    <t>8/29/2016</t>
  </si>
  <si>
    <t>CUST9069</t>
  </si>
  <si>
    <t>Customer 100</t>
  </si>
  <si>
    <t>Order Date</t>
  </si>
  <si>
    <t>Row Labels</t>
  </si>
  <si>
    <t>Sum of Sales</t>
  </si>
  <si>
    <t>Sum of Profit</t>
  </si>
  <si>
    <t>Average of Profit</t>
  </si>
  <si>
    <t>Grand Total</t>
  </si>
  <si>
    <t>Sum of Discount</t>
  </si>
  <si>
    <t>Sum of Quantity</t>
  </si>
  <si>
    <t>SALES DASHBOARD</t>
  </si>
  <si>
    <t>Month</t>
  </si>
  <si>
    <t>2014-05</t>
  </si>
  <si>
    <t>2014-08</t>
  </si>
  <si>
    <t>2014-09</t>
  </si>
  <si>
    <t>2014-10</t>
  </si>
  <si>
    <t>2014-11</t>
  </si>
  <si>
    <t>2014-12</t>
  </si>
  <si>
    <t>2015-01</t>
  </si>
  <si>
    <t>2015-03</t>
  </si>
  <si>
    <t>2015-04</t>
  </si>
  <si>
    <t>2015-09</t>
  </si>
  <si>
    <t>2015-11</t>
  </si>
  <si>
    <t>2015-12</t>
  </si>
  <si>
    <t>2016-01</t>
  </si>
  <si>
    <t>2016-04</t>
  </si>
  <si>
    <t>2016-05</t>
  </si>
  <si>
    <t>2016-06</t>
  </si>
  <si>
    <t>2016-07</t>
  </si>
  <si>
    <t>2016-08</t>
  </si>
  <si>
    <t>2016-09</t>
  </si>
  <si>
    <t>2016-11</t>
  </si>
  <si>
    <t>2016-12</t>
  </si>
  <si>
    <t>2017-04</t>
  </si>
  <si>
    <t>2017-05</t>
  </si>
  <si>
    <t>2017-06</t>
  </si>
  <si>
    <t>2017-07</t>
  </si>
  <si>
    <t>2017-09</t>
  </si>
  <si>
    <t>2017-10</t>
  </si>
  <si>
    <t>2017-11</t>
  </si>
  <si>
    <t xml:space="preserve">                        Total Sales</t>
  </si>
  <si>
    <t xml:space="preserve">                    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</si>
</sst>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m/d/yyyy;@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Aptos Narrow"/>
      <charset val="134"/>
    </font>
    <font>
      <sz val="11"/>
      <color rgb="FF000000"/>
      <name val="Times New Roman"/>
      <charset val="134"/>
    </font>
    <font>
      <sz val="11"/>
      <color indexed="8"/>
      <name val="Times New Roman"/>
      <charset val="134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0" fontId="4" fillId="0" borderId="0" xfId="0" applyNumberFormat="1" applyFont="1"/>
    <xf numFmtId="14" fontId="6" fillId="0" borderId="0" xfId="0" applyNumberFormat="1" applyFont="1"/>
    <xf numFmtId="0" fontId="6" fillId="0" borderId="0" xfId="0" applyFont="1"/>
    <xf numFmtId="166" fontId="3" fillId="0" borderId="0" xfId="0" quotePrefix="1" applyNumberFormat="1" applyFont="1"/>
    <xf numFmtId="0" fontId="7" fillId="0" borderId="1" xfId="0" applyFont="1" applyBorder="1"/>
    <xf numFmtId="166" fontId="8" fillId="0" borderId="0" xfId="0" applyNumberFormat="1" applyFont="1"/>
    <xf numFmtId="164" fontId="7" fillId="0" borderId="1" xfId="0" applyNumberFormat="1" applyFont="1" applyBorder="1"/>
    <xf numFmtId="10" fontId="7" fillId="0" borderId="1" xfId="0" applyNumberFormat="1" applyFont="1" applyBorder="1"/>
    <xf numFmtId="166" fontId="7" fillId="0" borderId="1" xfId="0" applyNumberFormat="1" applyFont="1" applyBorder="1"/>
    <xf numFmtId="14" fontId="8" fillId="0" borderId="0" xfId="0" applyNumberFormat="1" applyFont="1"/>
    <xf numFmtId="0" fontId="9" fillId="0" borderId="0" xfId="0" applyFont="1"/>
    <xf numFmtId="14" fontId="7" fillId="2" borderId="2" xfId="0" applyNumberFormat="1" applyFont="1" applyFill="1" applyBorder="1"/>
    <xf numFmtId="14" fontId="7" fillId="0" borderId="2" xfId="0" applyNumberFormat="1" applyFont="1" applyBorder="1"/>
    <xf numFmtId="0" fontId="10" fillId="0" borderId="0" xfId="0" applyFont="1"/>
    <xf numFmtId="0" fontId="1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12" fillId="4" borderId="0" xfId="0" applyFont="1" applyFill="1" applyAlignment="1">
      <alignment horizontal="center"/>
    </xf>
    <xf numFmtId="0" fontId="13" fillId="3" borderId="0" xfId="0" applyFont="1" applyFill="1" applyBorder="1" applyAlignment="1"/>
    <xf numFmtId="0" fontId="13" fillId="4" borderId="0" xfId="0" applyFont="1" applyFill="1" applyAlignment="1"/>
    <xf numFmtId="0" fontId="0" fillId="4" borderId="0" xfId="0" applyFill="1" applyAlignment="1"/>
    <xf numFmtId="0" fontId="13" fillId="4" borderId="0" xfId="0" applyFont="1" applyFill="1" applyAlignment="1">
      <alignment horizontal="center"/>
    </xf>
  </cellXfs>
  <cellStyles count="1">
    <cellStyle name="Normal" xfId="0" builtinId="0"/>
  </cellStyles>
  <dxfs count="73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sz val="11"/>
        <name val="Times New Roman"/>
        <family val="1"/>
        <scheme val="none"/>
      </font>
    </dxf>
    <dxf>
      <font>
        <strike val="0"/>
        <sz val="11"/>
        <color rgb="FF000000"/>
        <name val="Times New Roman"/>
        <family val="1"/>
        <scheme val="none"/>
      </font>
      <numFmt numFmtId="0" formatCode="General"/>
    </dxf>
    <dxf>
      <font>
        <strike val="0"/>
        <sz val="11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&quot;₹&quot;\ #,##0.0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&quot;₹&quot;\ #,##0.0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9" formatCode="dd/mm/yyyy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6" formatCode="m/d/yyyy;@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[Final_Sales_Dashboard.xlsx]Pivot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7"/>
          <c:y val="0.25083333333333302"/>
          <c:w val="0.75262270341207305"/>
          <c:h val="0.641767279090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"₹"\ #,##0.00</c:formatCode>
                <c:ptCount val="4"/>
                <c:pt idx="0">
                  <c:v>43110.73</c:v>
                </c:pt>
                <c:pt idx="1">
                  <c:v>69680.570000000007</c:v>
                </c:pt>
                <c:pt idx="2">
                  <c:v>64430.18</c:v>
                </c:pt>
                <c:pt idx="3">
                  <c:v>59483.98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E-486C-A790-BDE77F0A2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232655"/>
        <c:axId val="1667244655"/>
      </c:barChart>
      <c:catAx>
        <c:axId val="166723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44655"/>
        <c:crosses val="autoZero"/>
        <c:auto val="1"/>
        <c:lblAlgn val="ctr"/>
        <c:lblOffset val="100"/>
        <c:noMultiLvlLbl val="0"/>
      </c:catAx>
      <c:valAx>
        <c:axId val="166724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23265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37ec53-fad7-4d39-a090-b8072e34aa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[Final_Sales_Dashboard.xlsx]Pivot Tables!PivotTable20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Tables'!$D$11:$D$16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 City</c:v>
                </c:pt>
              </c:strCache>
            </c:strRef>
          </c:cat>
          <c:val>
            <c:numRef>
              <c:f>'Pivot Tables'!$E$11:$E$16</c:f>
              <c:numCache>
                <c:formatCode>General</c:formatCode>
                <c:ptCount val="5"/>
                <c:pt idx="0">
                  <c:v>74352.08</c:v>
                </c:pt>
                <c:pt idx="1">
                  <c:v>51600.41</c:v>
                </c:pt>
                <c:pt idx="2">
                  <c:v>37661.17</c:v>
                </c:pt>
                <c:pt idx="3">
                  <c:v>32928.92</c:v>
                </c:pt>
                <c:pt idx="4">
                  <c:v>40162.879999999997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0E5-827A-2F953590D8C8}"/>
            </c:ext>
          </c:extLst>
        </c:ser>
        <c:ser>
          <c:idx val="1"/>
          <c:order val="1"/>
          <c:tx>
            <c:strRef>
              <c:f>'Pivot Tables'!$F$10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'Pivot Tables'!$D$11:$D$16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 City</c:v>
                </c:pt>
              </c:strCache>
            </c:strRef>
          </c:cat>
          <c:val>
            <c:numRef>
              <c:f>'Pivot Tables'!$F$11:$F$16</c:f>
              <c:numCache>
                <c:formatCode>General</c:formatCode>
                <c:ptCount val="5"/>
                <c:pt idx="0">
                  <c:v>3.11</c:v>
                </c:pt>
                <c:pt idx="1">
                  <c:v>4.04</c:v>
                </c:pt>
                <c:pt idx="2">
                  <c:v>1.96</c:v>
                </c:pt>
                <c:pt idx="3">
                  <c:v>2.64</c:v>
                </c:pt>
                <c:pt idx="4">
                  <c:v>2.81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9-40E5-827A-2F953590D8C8}"/>
            </c:ext>
          </c:extLst>
        </c:ser>
        <c:ser>
          <c:idx val="2"/>
          <c:order val="2"/>
          <c:tx>
            <c:strRef>
              <c:f>'Pivot Tables'!$G$10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'Pivot Tables'!$D$11:$D$16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 City</c:v>
                </c:pt>
              </c:strCache>
            </c:strRef>
          </c:cat>
          <c:val>
            <c:numRef>
              <c:f>'Pivot Tables'!$G$11:$G$16</c:f>
              <c:numCache>
                <c:formatCode>General</c:formatCode>
                <c:ptCount val="5"/>
                <c:pt idx="0">
                  <c:v>152</c:v>
                </c:pt>
                <c:pt idx="1">
                  <c:v>132</c:v>
                </c:pt>
                <c:pt idx="2">
                  <c:v>76</c:v>
                </c:pt>
                <c:pt idx="3">
                  <c:v>101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9-40E5-827A-2F953590D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630863"/>
        <c:axId val="1667628943"/>
      </c:barChart>
      <c:catAx>
        <c:axId val="166763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28943"/>
        <c:crosses val="autoZero"/>
        <c:auto val="1"/>
        <c:lblAlgn val="ctr"/>
        <c:lblOffset val="100"/>
        <c:noMultiLvlLbl val="0"/>
      </c:catAx>
      <c:valAx>
        <c:axId val="16676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3086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b5ac84-1f3b-44a7-8ca9-b847c6f52e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[Final_Sales_Dashboard.xlsx]Pivot Tables!PivotTable16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profit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80-4C12-B9B5-C480792164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80-4C12-B9B5-C480792164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80-4C12-B9B5-C48079216432}"/>
              </c:ext>
            </c:extLst>
          </c:dPt>
          <c:cat>
            <c:strRef>
              <c:f>'Pivot Tables'!$D$4:$D$7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14495.81</c:v>
                </c:pt>
                <c:pt idx="1">
                  <c:v>13776.65</c:v>
                </c:pt>
                <c:pt idx="2">
                  <c:v>15597.9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4C12-B9B5-C48079216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905824-4d78-4959-b305-42fc0e5ab1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[Final_Sales_Dashboard.xlsx]Pivot Tables!PivotTable33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Discount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68643515070999"/>
          <c:y val="0.18564775260997299"/>
          <c:w val="0.71158962211549903"/>
          <c:h val="0.734084547153166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Tables'!$A$20:$A$25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Texas</c:v>
                </c:pt>
              </c:strCache>
            </c:strRef>
          </c:cat>
          <c:val>
            <c:numRef>
              <c:f>'Pivot Tables'!$B$20:$B$25</c:f>
              <c:numCache>
                <c:formatCode>General</c:formatCode>
                <c:ptCount val="5"/>
                <c:pt idx="0">
                  <c:v>2.74</c:v>
                </c:pt>
                <c:pt idx="1">
                  <c:v>3.6</c:v>
                </c:pt>
                <c:pt idx="2">
                  <c:v>3.19</c:v>
                </c:pt>
                <c:pt idx="3">
                  <c:v>2.21</c:v>
                </c:pt>
                <c:pt idx="4">
                  <c:v>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A-4326-A5B8-980D3915F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0822719"/>
        <c:axId val="1611765136"/>
      </c:barChart>
      <c:catAx>
        <c:axId val="56082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65136"/>
        <c:crosses val="autoZero"/>
        <c:auto val="1"/>
        <c:lblAlgn val="ctr"/>
        <c:lblOffset val="100"/>
        <c:noMultiLvlLbl val="0"/>
      </c:catAx>
      <c:valAx>
        <c:axId val="16117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2271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cb0624-d6c8-4488-9712-d42e7dafc5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[Final_Sales_Dashboard.xlsx]Pivot Tables!PivotTable1</c:name>
    <c:fmtId val="6"/>
  </c:pivotSource>
  <c:chart>
    <c:title>
      <c:tx>
        <c:rich>
          <a:bodyPr/>
          <a:lstStyle/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 cmpd="sng" algn="ctr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'Pivot Tables'!$L$7:$L$51</c:f>
              <c:strCache>
                <c:ptCount val="44"/>
                <c:pt idx="0">
                  <c:v>Product 1</c:v>
                </c:pt>
                <c:pt idx="1">
                  <c:v>Product 10</c:v>
                </c:pt>
                <c:pt idx="2">
                  <c:v>Product 11</c:v>
                </c:pt>
                <c:pt idx="3">
                  <c:v>Product 12</c:v>
                </c:pt>
                <c:pt idx="4">
                  <c:v>Product 13</c:v>
                </c:pt>
                <c:pt idx="5">
                  <c:v>Product 15</c:v>
                </c:pt>
                <c:pt idx="6">
                  <c:v>Product 16</c:v>
                </c:pt>
                <c:pt idx="7">
                  <c:v>Product 17</c:v>
                </c:pt>
                <c:pt idx="8">
                  <c:v>Product 18</c:v>
                </c:pt>
                <c:pt idx="9">
                  <c:v>Product 19</c:v>
                </c:pt>
                <c:pt idx="10">
                  <c:v>Product 2</c:v>
                </c:pt>
                <c:pt idx="11">
                  <c:v>Product 20</c:v>
                </c:pt>
                <c:pt idx="12">
                  <c:v>Product 21</c:v>
                </c:pt>
                <c:pt idx="13">
                  <c:v>Product 24</c:v>
                </c:pt>
                <c:pt idx="14">
                  <c:v>Product 25</c:v>
                </c:pt>
                <c:pt idx="15">
                  <c:v>Product 26</c:v>
                </c:pt>
                <c:pt idx="16">
                  <c:v>Product 27</c:v>
                </c:pt>
                <c:pt idx="17">
                  <c:v>Product 28</c:v>
                </c:pt>
                <c:pt idx="18">
                  <c:v>Product 29</c:v>
                </c:pt>
                <c:pt idx="19">
                  <c:v>Product 3</c:v>
                </c:pt>
                <c:pt idx="20">
                  <c:v>Product 30</c:v>
                </c:pt>
                <c:pt idx="21">
                  <c:v>Product 31</c:v>
                </c:pt>
                <c:pt idx="22">
                  <c:v>Product 32</c:v>
                </c:pt>
                <c:pt idx="23">
                  <c:v>Product 33</c:v>
                </c:pt>
                <c:pt idx="24">
                  <c:v>Product 34</c:v>
                </c:pt>
                <c:pt idx="25">
                  <c:v>Product 35</c:v>
                </c:pt>
                <c:pt idx="26">
                  <c:v>Product 37</c:v>
                </c:pt>
                <c:pt idx="27">
                  <c:v>Product 38</c:v>
                </c:pt>
                <c:pt idx="28">
                  <c:v>Product 39</c:v>
                </c:pt>
                <c:pt idx="29">
                  <c:v>Product 4</c:v>
                </c:pt>
                <c:pt idx="30">
                  <c:v>Product 40</c:v>
                </c:pt>
                <c:pt idx="31">
                  <c:v>Product 41</c:v>
                </c:pt>
                <c:pt idx="32">
                  <c:v>Product 42</c:v>
                </c:pt>
                <c:pt idx="33">
                  <c:v>Product 43</c:v>
                </c:pt>
                <c:pt idx="34">
                  <c:v>Product 44</c:v>
                </c:pt>
                <c:pt idx="35">
                  <c:v>Product 47</c:v>
                </c:pt>
                <c:pt idx="36">
                  <c:v>Product 48</c:v>
                </c:pt>
                <c:pt idx="37">
                  <c:v>Product 49</c:v>
                </c:pt>
                <c:pt idx="38">
                  <c:v>Product 5</c:v>
                </c:pt>
                <c:pt idx="39">
                  <c:v>Product 50</c:v>
                </c:pt>
                <c:pt idx="40">
                  <c:v>Product 6</c:v>
                </c:pt>
                <c:pt idx="41">
                  <c:v>Product 7</c:v>
                </c:pt>
                <c:pt idx="42">
                  <c:v>Product 8</c:v>
                </c:pt>
                <c:pt idx="43">
                  <c:v>Product 9</c:v>
                </c:pt>
              </c:strCache>
            </c:strRef>
          </c:cat>
          <c:val>
            <c:numRef>
              <c:f>'Pivot Tables'!$M$7:$M$51</c:f>
              <c:numCache>
                <c:formatCode>General</c:formatCode>
                <c:ptCount val="44"/>
                <c:pt idx="0">
                  <c:v>1694.48</c:v>
                </c:pt>
                <c:pt idx="1">
                  <c:v>3137.97</c:v>
                </c:pt>
                <c:pt idx="2">
                  <c:v>1147.02</c:v>
                </c:pt>
                <c:pt idx="3">
                  <c:v>5080.29</c:v>
                </c:pt>
                <c:pt idx="4">
                  <c:v>3880.05</c:v>
                </c:pt>
                <c:pt idx="5">
                  <c:v>4732.78</c:v>
                </c:pt>
                <c:pt idx="6">
                  <c:v>6716.14</c:v>
                </c:pt>
                <c:pt idx="7">
                  <c:v>6445.7</c:v>
                </c:pt>
                <c:pt idx="8">
                  <c:v>4489.05</c:v>
                </c:pt>
                <c:pt idx="9">
                  <c:v>8284.31</c:v>
                </c:pt>
                <c:pt idx="10">
                  <c:v>675.86</c:v>
                </c:pt>
                <c:pt idx="11">
                  <c:v>1520.37</c:v>
                </c:pt>
                <c:pt idx="12">
                  <c:v>4828.21</c:v>
                </c:pt>
                <c:pt idx="13">
                  <c:v>9101.83</c:v>
                </c:pt>
                <c:pt idx="14">
                  <c:v>4784.9399999999996</c:v>
                </c:pt>
                <c:pt idx="15">
                  <c:v>11002.26</c:v>
                </c:pt>
                <c:pt idx="16">
                  <c:v>8005.43</c:v>
                </c:pt>
                <c:pt idx="17">
                  <c:v>1955.82</c:v>
                </c:pt>
                <c:pt idx="18">
                  <c:v>8318.6</c:v>
                </c:pt>
                <c:pt idx="19">
                  <c:v>1950.71</c:v>
                </c:pt>
                <c:pt idx="20">
                  <c:v>3742.64</c:v>
                </c:pt>
                <c:pt idx="21">
                  <c:v>9804.7099999999991</c:v>
                </c:pt>
                <c:pt idx="22">
                  <c:v>10210.91</c:v>
                </c:pt>
                <c:pt idx="23">
                  <c:v>7341.6</c:v>
                </c:pt>
                <c:pt idx="24">
                  <c:v>5503.55</c:v>
                </c:pt>
                <c:pt idx="25">
                  <c:v>9881.18</c:v>
                </c:pt>
                <c:pt idx="26">
                  <c:v>4403.05</c:v>
                </c:pt>
                <c:pt idx="27">
                  <c:v>7946.68</c:v>
                </c:pt>
                <c:pt idx="28">
                  <c:v>12081.75</c:v>
                </c:pt>
                <c:pt idx="29">
                  <c:v>8459.44</c:v>
                </c:pt>
                <c:pt idx="30">
                  <c:v>6095.95</c:v>
                </c:pt>
                <c:pt idx="31">
                  <c:v>13063.83</c:v>
                </c:pt>
                <c:pt idx="32">
                  <c:v>3475.7</c:v>
                </c:pt>
                <c:pt idx="33">
                  <c:v>2433.08</c:v>
                </c:pt>
                <c:pt idx="34">
                  <c:v>3601.79</c:v>
                </c:pt>
                <c:pt idx="35">
                  <c:v>2842.49</c:v>
                </c:pt>
                <c:pt idx="36">
                  <c:v>5978.26</c:v>
                </c:pt>
                <c:pt idx="37">
                  <c:v>3740.31</c:v>
                </c:pt>
                <c:pt idx="38">
                  <c:v>3624.61</c:v>
                </c:pt>
                <c:pt idx="39">
                  <c:v>1953.71</c:v>
                </c:pt>
                <c:pt idx="40">
                  <c:v>1067.43</c:v>
                </c:pt>
                <c:pt idx="41">
                  <c:v>3980.49</c:v>
                </c:pt>
                <c:pt idx="42">
                  <c:v>2917.1</c:v>
                </c:pt>
                <c:pt idx="43">
                  <c:v>4803.38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C-4346-8CEF-8C581666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138431"/>
        <c:axId val="692136991"/>
      </c:lineChart>
      <c:catAx>
        <c:axId val="6921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36991"/>
        <c:crosses val="autoZero"/>
        <c:auto val="1"/>
        <c:lblAlgn val="ctr"/>
        <c:lblOffset val="100"/>
        <c:noMultiLvlLbl val="0"/>
      </c:catAx>
      <c:valAx>
        <c:axId val="6921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1384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3320ad-1941-4739-9fec-567c9831e8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Dashboard!$AF$16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cat>
            <c:strRef>
              <c:f>Dashboard!$AE$17:$AE$19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Dashboard!$AF$17:$AF$19</c:f>
              <c:numCache>
                <c:formatCode>General</c:formatCode>
                <c:ptCount val="3"/>
                <c:pt idx="0">
                  <c:v>14495.81</c:v>
                </c:pt>
                <c:pt idx="1">
                  <c:v>13776.65</c:v>
                </c:pt>
                <c:pt idx="2">
                  <c:v>15597.9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5-4C05-984D-75347517F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d4d24c-3b57-4254-9d6c-9b6e2d789ddd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Tables'!$P$6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'Pivot Tables'!$O$7:$O$34</c:f>
              <c:strCache>
                <c:ptCount val="28"/>
                <c:pt idx="0">
                  <c:v>2014-05</c:v>
                </c:pt>
                <c:pt idx="1">
                  <c:v>2014-08</c:v>
                </c:pt>
                <c:pt idx="2">
                  <c:v>2014-09</c:v>
                </c:pt>
                <c:pt idx="3">
                  <c:v>2014-10</c:v>
                </c:pt>
                <c:pt idx="4">
                  <c:v>2014-11</c:v>
                </c:pt>
                <c:pt idx="5">
                  <c:v>2014-12</c:v>
                </c:pt>
                <c:pt idx="6">
                  <c:v>2015-01</c:v>
                </c:pt>
                <c:pt idx="7">
                  <c:v>2015-03</c:v>
                </c:pt>
                <c:pt idx="8">
                  <c:v>2015-04</c:v>
                </c:pt>
                <c:pt idx="9">
                  <c:v>2015-09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2016-04</c:v>
                </c:pt>
                <c:pt idx="14">
                  <c:v>2016-05</c:v>
                </c:pt>
                <c:pt idx="15">
                  <c:v>2016-06</c:v>
                </c:pt>
                <c:pt idx="16">
                  <c:v>2016-07</c:v>
                </c:pt>
                <c:pt idx="17">
                  <c:v>2016-08</c:v>
                </c:pt>
                <c:pt idx="18">
                  <c:v>2016-09</c:v>
                </c:pt>
                <c:pt idx="19">
                  <c:v>2016-11</c:v>
                </c:pt>
                <c:pt idx="20">
                  <c:v>2016-12</c:v>
                </c:pt>
                <c:pt idx="21">
                  <c:v>2017-04</c:v>
                </c:pt>
                <c:pt idx="22">
                  <c:v>2017-05</c:v>
                </c:pt>
                <c:pt idx="23">
                  <c:v>2017-06</c:v>
                </c:pt>
                <c:pt idx="24">
                  <c:v>2017-07</c:v>
                </c:pt>
                <c:pt idx="25">
                  <c:v>2017-09</c:v>
                </c:pt>
                <c:pt idx="26">
                  <c:v>2017-10</c:v>
                </c:pt>
                <c:pt idx="27">
                  <c:v>2017-11</c:v>
                </c:pt>
              </c:strCache>
            </c:strRef>
          </c:cat>
          <c:val>
            <c:numRef>
              <c:f>'Pivot Tables'!$P$7:$P$34</c:f>
              <c:numCache>
                <c:formatCode>General</c:formatCode>
                <c:ptCount val="28"/>
                <c:pt idx="0">
                  <c:v>5251.16</c:v>
                </c:pt>
                <c:pt idx="1">
                  <c:v>7492.58</c:v>
                </c:pt>
                <c:pt idx="2">
                  <c:v>12969.54</c:v>
                </c:pt>
                <c:pt idx="3">
                  <c:v>607.19000000000005</c:v>
                </c:pt>
                <c:pt idx="4">
                  <c:v>1335.74</c:v>
                </c:pt>
                <c:pt idx="5">
                  <c:v>5402.57</c:v>
                </c:pt>
                <c:pt idx="6">
                  <c:v>7222.56</c:v>
                </c:pt>
                <c:pt idx="7">
                  <c:v>864.84</c:v>
                </c:pt>
                <c:pt idx="8">
                  <c:v>19831.72</c:v>
                </c:pt>
                <c:pt idx="9">
                  <c:v>18310.39</c:v>
                </c:pt>
                <c:pt idx="10">
                  <c:v>22893.29</c:v>
                </c:pt>
                <c:pt idx="11">
                  <c:v>9676.0499999999993</c:v>
                </c:pt>
                <c:pt idx="12">
                  <c:v>8088.5</c:v>
                </c:pt>
                <c:pt idx="13">
                  <c:v>4828.21</c:v>
                </c:pt>
                <c:pt idx="14">
                  <c:v>2411.58</c:v>
                </c:pt>
                <c:pt idx="15">
                  <c:v>24463.55</c:v>
                </c:pt>
                <c:pt idx="16">
                  <c:v>3137.97</c:v>
                </c:pt>
                <c:pt idx="17">
                  <c:v>13271.19</c:v>
                </c:pt>
                <c:pt idx="18">
                  <c:v>17882.88</c:v>
                </c:pt>
                <c:pt idx="19">
                  <c:v>7607.77</c:v>
                </c:pt>
                <c:pt idx="20">
                  <c:v>5065.71</c:v>
                </c:pt>
                <c:pt idx="21">
                  <c:v>2842.49</c:v>
                </c:pt>
                <c:pt idx="22">
                  <c:v>1831.24</c:v>
                </c:pt>
                <c:pt idx="23">
                  <c:v>5470</c:v>
                </c:pt>
                <c:pt idx="24">
                  <c:v>1018.33</c:v>
                </c:pt>
                <c:pt idx="25">
                  <c:v>12929.33</c:v>
                </c:pt>
                <c:pt idx="26">
                  <c:v>9849.4699999999993</c:v>
                </c:pt>
                <c:pt idx="27">
                  <c:v>4149.6099999999997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53-49B2-9A14-AB0CFD303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c033d8-2bde-48c5-a036-4ad06658fb2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131379</xdr:colOff>
      <xdr:row>48</xdr:row>
      <xdr:rowOff>170467</xdr:rowOff>
    </xdr:from>
    <xdr:to>
      <xdr:col>37</xdr:col>
      <xdr:colOff>142669</xdr:colOff>
      <xdr:row>64</xdr:row>
      <xdr:rowOff>48572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31749</xdr:colOff>
      <xdr:row>48</xdr:row>
      <xdr:rowOff>23861</xdr:rowOff>
    </xdr:from>
    <xdr:to>
      <xdr:col>20</xdr:col>
      <xdr:colOff>397768</xdr:colOff>
      <xdr:row>72</xdr:row>
      <xdr:rowOff>10760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131379</xdr:colOff>
      <xdr:row>72</xdr:row>
      <xdr:rowOff>123776</xdr:rowOff>
    </xdr:from>
    <xdr:to>
      <xdr:col>27</xdr:col>
      <xdr:colOff>724938</xdr:colOff>
      <xdr:row>88</xdr:row>
      <xdr:rowOff>152249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367863</xdr:colOff>
      <xdr:row>27</xdr:row>
      <xdr:rowOff>166423</xdr:rowOff>
    </xdr:from>
    <xdr:to>
      <xdr:col>37</xdr:col>
      <xdr:colOff>499448</xdr:colOff>
      <xdr:row>43</xdr:row>
      <xdr:rowOff>98560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655743</xdr:colOff>
      <xdr:row>50</xdr:row>
      <xdr:rowOff>104140</xdr:rowOff>
    </xdr:from>
    <xdr:to>
      <xdr:col>28</xdr:col>
      <xdr:colOff>393165</xdr:colOff>
      <xdr:row>69</xdr:row>
      <xdr:rowOff>6321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9</xdr:col>
      <xdr:colOff>363289</xdr:colOff>
      <xdr:row>28</xdr:row>
      <xdr:rowOff>101005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21</xdr:col>
      <xdr:colOff>28755</xdr:colOff>
      <xdr:row>26</xdr:row>
      <xdr:rowOff>115018</xdr:rowOff>
    </xdr:from>
    <xdr:ext cx="5977035" cy="3327944"/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>
    <xdr:from>
      <xdr:col>22</xdr:col>
      <xdr:colOff>87923</xdr:colOff>
      <xdr:row>18</xdr:row>
      <xdr:rowOff>81064</xdr:rowOff>
    </xdr:from>
    <xdr:to>
      <xdr:col>22</xdr:col>
      <xdr:colOff>178340</xdr:colOff>
      <xdr:row>18</xdr:row>
      <xdr:rowOff>130628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919EED-F28C-F0A2-FD88-F9448913AFB3}"/>
            </a:ext>
          </a:extLst>
        </xdr:cNvPr>
        <xdr:cNvSpPr txBox="1"/>
      </xdr:nvSpPr>
      <xdr:spPr>
        <a:xfrm>
          <a:off x="14776689" y="4247745"/>
          <a:ext cx="90417" cy="495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478464</xdr:colOff>
      <xdr:row>19</xdr:row>
      <xdr:rowOff>25163</xdr:rowOff>
    </xdr:from>
    <xdr:to>
      <xdr:col>18</xdr:col>
      <xdr:colOff>567070</xdr:colOff>
      <xdr:row>19</xdr:row>
      <xdr:rowOff>70882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23E8AD-B4DF-23F0-ECBE-AFD4058941CC}"/>
            </a:ext>
          </a:extLst>
        </xdr:cNvPr>
        <xdr:cNvSpPr txBox="1"/>
      </xdr:nvSpPr>
      <xdr:spPr>
        <a:xfrm flipH="1">
          <a:off x="14123580" y="4597163"/>
          <a:ext cx="88606" cy="4571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2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BALAKKAGARI" refreshedDate="46175.936550462997" createdVersion="8" refreshedVersion="8" minRefreshableVersion="3" recordCount="100" xr:uid="{00000000-000A-0000-FFFF-FFFF00000000}">
  <cacheSource type="worksheet">
    <worksheetSource name="Table33"/>
  </cacheSource>
  <cacheFields count="18">
    <cacheField name="Order_ID" numFmtId="0">
      <sharedItems count="1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</sharedItems>
    </cacheField>
    <cacheField name="Order_Date" numFmtId="0">
      <sharedItems containsSemiMixedTypes="0" containsNonDate="0" containsString="0"/>
    </cacheField>
    <cacheField name="Ship_Date" numFmtId="0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Customer_Name" numFmtId="0">
      <sharedItems containsSemiMixedTypes="0" containsNonDate="0" containsString="0"/>
    </cacheField>
    <cacheField name="Segment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tate" numFmtId="0">
      <sharedItems count="5">
        <s v="California"/>
        <s v="Texas"/>
        <s v="Florida"/>
        <s v="Illinois"/>
        <s v="New York"/>
      </sharedItems>
    </cacheField>
    <cacheField name="City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Sub_Category" numFmtId="0">
      <sharedItems containsSemiMixedTypes="0" containsNonDate="0" containsString="0"/>
    </cacheField>
    <cacheField name="Product_Name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Order_Priority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BALAKKAGARI" refreshedDate="46175.922245254602" createdVersion="8" refreshedVersion="8" minRefreshableVersion="3" recordCount="100" xr:uid="{00000000-000A-0000-FFFF-FFFF01000000}">
  <cacheSource type="worksheet">
    <worksheetSource name="Table33"/>
  </cacheSource>
  <cacheFields count="18">
    <cacheField name="Order_ID" numFmtId="0">
      <sharedItems count="1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</sharedItems>
    </cacheField>
    <cacheField name="Order_Date" numFmtId="0">
      <sharedItems containsSemiMixedTypes="0" containsNonDate="0" containsString="0"/>
    </cacheField>
    <cacheField name="Ship_Date" numFmtId="0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Customer_Name" numFmtId="0">
      <sharedItems containsSemiMixedTypes="0" containsNonDate="0" containsString="0"/>
    </cacheField>
    <cacheField name="Segment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City" numFmtId="0">
      <sharedItems count="5">
        <s v="New York City"/>
        <s v="Los Angeles"/>
        <s v="Chicago"/>
        <s v="Miami"/>
        <s v="Houston"/>
      </sharedItems>
    </cacheField>
    <cacheField name="Category" numFmtId="0">
      <sharedItems containsSemiMixedTypes="0" containsNonDate="0" containsString="0"/>
    </cacheField>
    <cacheField name="Sub_Category" numFmtId="0">
      <sharedItems containsSemiMixedTypes="0" containsNonDate="0" containsString="0"/>
    </cacheField>
    <cacheField name="Product_Name" numFmtId="0">
      <sharedItems count="44">
        <s v="Product 3"/>
        <s v="Product 26"/>
        <s v="Product 31"/>
        <s v="Product 33"/>
        <s v="Product 38"/>
        <s v="Product 29"/>
        <s v="Product 9"/>
        <s v="Product 41"/>
        <s v="Product 40"/>
        <s v="Product 16"/>
        <s v="Product 1"/>
        <s v="Product 47"/>
        <s v="Product 18"/>
        <s v="Product 28"/>
        <s v="Product 39"/>
        <s v="Product 49"/>
        <s v="Product 48"/>
        <s v="Product 13"/>
        <s v="Product 44"/>
        <s v="Product 4"/>
        <s v="Product 2"/>
        <s v="Product 30"/>
        <s v="Product 24"/>
        <s v="Product 17"/>
        <s v="Product 42"/>
        <s v="Product 43"/>
        <s v="Product 7"/>
        <s v="Product 25"/>
        <s v="Product 15"/>
        <s v="Product 19"/>
        <s v="Product 32"/>
        <s v="Product 10"/>
        <s v="Product 20"/>
        <s v="Product 35"/>
        <s v="Product 12"/>
        <s v="Product 34"/>
        <s v="Product 27"/>
        <s v="Product 37"/>
        <s v="Product 5"/>
        <s v="Product 21"/>
        <s v="Product 11"/>
        <s v="Product 8"/>
        <s v="Product 50"/>
        <s v="Product 6"/>
      </sharedItems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Salesperson" numFmtId="0">
      <sharedItems count="5">
        <s v="Emma"/>
        <s v="Olivia"/>
        <s v="Liam"/>
        <s v="Ava"/>
        <s v="Noah"/>
      </sharedItems>
    </cacheField>
    <cacheField name="Order_Priority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BALAKKAGARI" refreshedDate="46175.919916666702" createdVersion="8" refreshedVersion="8" minRefreshableVersion="3" recordCount="100" xr:uid="{00000000-000A-0000-FFFF-FFFF02000000}">
  <cacheSource type="worksheet">
    <worksheetSource name="Table33"/>
  </cacheSource>
  <cacheFields count="18">
    <cacheField name="Order_ID" numFmtId="0">
      <sharedItems count="1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</sharedItems>
    </cacheField>
    <cacheField name="Order_Date" numFmtId="0">
      <sharedItems containsSemiMixedTypes="0" containsNonDate="0" containsString="0"/>
    </cacheField>
    <cacheField name="Ship_Date" numFmtId="0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Customer_Name" numFmtId="0">
      <sharedItems containsSemiMixedTypes="0" containsNonDate="0" containsString="0"/>
    </cacheField>
    <cacheField name="Segment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City" numFmtId="0">
      <sharedItems count="5">
        <s v="New York City"/>
        <s v="Los Angeles"/>
        <s v="Chicago"/>
        <s v="Miami"/>
        <s v="Houston"/>
      </sharedItems>
    </cacheField>
    <cacheField name="Category" numFmtId="0">
      <sharedItems containsSemiMixedTypes="0" containsNonDate="0" containsString="0"/>
    </cacheField>
    <cacheField name="Sub_Category" numFmtId="0">
      <sharedItems containsSemiMixedTypes="0" containsNonDate="0" containsString="0"/>
    </cacheField>
    <cacheField name="Product_Name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Order_Priority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BALAKKAGARI" refreshedDate="46175.894806712997" createdVersion="8" refreshedVersion="8" minRefreshableVersion="3" recordCount="100" xr:uid="{00000000-000A-0000-FFFF-FFFF03000000}">
  <cacheSource type="worksheet">
    <worksheetSource name="Table33"/>
  </cacheSource>
  <cacheFields count="18">
    <cacheField name="Order_ID" numFmtId="0">
      <sharedItems containsNonDate="0"/>
    </cacheField>
    <cacheField name="Order_Date" numFmtId="0">
      <sharedItems containsNonDate="0" containsDate="1" containsMixedTypes="1" minDate="2014-05-12T00:00:00" maxDate="2017-10-10T00:00:00"/>
    </cacheField>
    <cacheField name="Ship_Date" numFmtId="0">
      <sharedItems containsNonDate="0" containsDate="1" containsMixedTypes="1" minDate="2014-01-09T00:00:00" maxDate="2017-12-12T00:00:00"/>
    </cacheField>
    <cacheField name="Customer_ID" numFmtId="0">
      <sharedItems containsNonDate="0"/>
    </cacheField>
    <cacheField name="Customer_Name" numFmtId="0">
      <sharedItems containsNonDate="0"/>
    </cacheField>
    <cacheField name="Segment" numFmtId="0">
      <sharedItems count="3">
        <s v="Corporate"/>
        <s v="Consumer"/>
        <s v="Home Office"/>
      </sharedItems>
    </cacheField>
    <cacheField name="Region" numFmtId="0">
      <sharedItems count="4">
        <s v="West"/>
        <s v="East"/>
        <s v="South"/>
        <s v="Central"/>
      </sharedItems>
    </cacheField>
    <cacheField name="State" numFmtId="0">
      <sharedItems containsNonDate="0"/>
    </cacheField>
    <cacheField name="City" numFmtId="0">
      <sharedItems containsNonDate="0"/>
    </cacheField>
    <cacheField name="Category" numFmtId="0">
      <sharedItems count="3">
        <s v="Furniture"/>
        <s v="Technology"/>
        <s v="Office Supplies"/>
      </sharedItems>
    </cacheField>
    <cacheField name="Sub_Category" numFmtId="0">
      <sharedItems containsNonDate="0"/>
    </cacheField>
    <cacheField name="Product_Name" numFmtId="0">
      <sharedItems containsNonDate="0"/>
    </cacheField>
    <cacheField name="Sales" numFmtId="0">
      <sharedItems containsSemiMixedTypes="0" containsNonDate="0" containsString="0" containsNumber="1" minValue="96.46" maxValue="4932.3900000000003"/>
    </cacheField>
    <cacheField name="Quantity" numFmtId="0">
      <sharedItems containsSemiMixedTypes="0" containsNonDate="0" containsString="0" containsNumber="1" containsInteger="1" minValue="1" maxValue="10"/>
    </cacheField>
    <cacheField name="Discount" numFmtId="0">
      <sharedItems containsSemiMixedTypes="0" containsNonDate="0" containsString="0" containsNumber="1" minValue="0" maxValue="0.3"/>
    </cacheField>
    <cacheField name="Profit" numFmtId="0">
      <sharedItems containsSemiMixedTypes="0" containsNonDate="0" containsString="0" containsNumber="1" minValue="8.1" maxValue="1589.75"/>
    </cacheField>
    <cacheField name="Salesperson" numFmtId="0">
      <sharedItems count="5">
        <s v="Emma"/>
        <s v="Olivia"/>
        <s v="Liam"/>
        <s v="Ava"/>
        <s v="Noah"/>
      </sharedItems>
    </cacheField>
    <cacheField name="Order_Priority" numFmtId="0">
      <sharedItems containsNonDat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s v="ORD0001"/>
    <d v="2016-08-11T00:00:00"/>
    <d v="2016-11-11T00:00:00"/>
    <s v="CUST9340"/>
    <s v="Customer 1"/>
    <x v="0"/>
    <x v="0"/>
    <s v="California"/>
    <s v="New York City"/>
    <x v="0"/>
    <s v="Chairs"/>
    <s v="Product 3"/>
    <n v="1001.58"/>
    <n v="8"/>
    <n v="0.12"/>
    <n v="142.51"/>
    <x v="0"/>
    <s v="High"/>
  </r>
  <r>
    <s v="ORD0002"/>
    <d v="2016-08-11T00:00:00"/>
    <d v="2016-11-11T00:00:00"/>
    <s v="CUST9705"/>
    <s v="Customer 2"/>
    <x v="0"/>
    <x v="1"/>
    <s v="Texas"/>
    <s v="Los Angeles"/>
    <x v="1"/>
    <s v="Chairs"/>
    <s v="Product 26"/>
    <n v="4468.06"/>
    <n v="1"/>
    <n v="0.1"/>
    <n v="250.04"/>
    <x v="0"/>
    <s v="Medium"/>
  </r>
  <r>
    <s v="ORD0003"/>
    <d v="2016-12-06T00:00:00"/>
    <s v="6/16/2016"/>
    <s v="CUST4273"/>
    <s v="Customer 3"/>
    <x v="1"/>
    <x v="1"/>
    <s v="Florida"/>
    <s v="New York City"/>
    <x v="1"/>
    <s v="Storage"/>
    <s v="Product 31"/>
    <n v="2842.6"/>
    <n v="1"/>
    <n v="0.24"/>
    <n v="361.62"/>
    <x v="1"/>
    <s v="Critical"/>
  </r>
  <r>
    <s v="ORD0004"/>
    <d v="2015-11-10T00:00:00"/>
    <s v="10/18/2015"/>
    <s v="CUST5155"/>
    <s v="Customer 4"/>
    <x v="2"/>
    <x v="2"/>
    <s v="Florida"/>
    <s v="Chicago"/>
    <x v="0"/>
    <s v="Phones"/>
    <s v="Product 33"/>
    <n v="4667.41"/>
    <n v="5"/>
    <n v="0.03"/>
    <n v="529.16"/>
    <x v="2"/>
    <s v="Medium"/>
  </r>
  <r>
    <s v="ORD0005"/>
    <d v="2015-11-10T00:00:00"/>
    <s v="10/18/2015"/>
    <s v="CUST5111"/>
    <s v="Customer 5"/>
    <x v="0"/>
    <x v="3"/>
    <s v="Illinois"/>
    <s v="Miami"/>
    <x v="0"/>
    <s v="Binders"/>
    <s v="Product 38"/>
    <n v="3014.29"/>
    <n v="7"/>
    <n v="0.18"/>
    <n v="909.5"/>
    <x v="3"/>
    <s v="Medium"/>
  </r>
  <r>
    <s v="ORD0006"/>
    <d v="2014-09-06T00:00:00"/>
    <s v="6/14/2014"/>
    <s v="CUST1687"/>
    <s v="Customer 6"/>
    <x v="2"/>
    <x v="0"/>
    <s v="Texas"/>
    <s v="Los Angeles"/>
    <x v="1"/>
    <s v="Binders"/>
    <s v="Product 29"/>
    <n v="3383.51"/>
    <n v="1"/>
    <n v="0.2"/>
    <n v="232.2"/>
    <x v="2"/>
    <s v="Critical"/>
  </r>
  <r>
    <s v="ORD0007"/>
    <d v="2014-09-06T00:00:00"/>
    <s v="6/14/2014"/>
    <s v="CUST1727"/>
    <s v="Customer 7"/>
    <x v="0"/>
    <x v="2"/>
    <s v="Texas"/>
    <s v="Houston"/>
    <x v="0"/>
    <s v="Tables"/>
    <s v="Product 9"/>
    <n v="540.88"/>
    <n v="2"/>
    <n v="0.24"/>
    <n v="54.89"/>
    <x v="3"/>
    <s v="High"/>
  </r>
  <r>
    <s v="ORD0008"/>
    <d v="2014-09-06T00:00:00"/>
    <s v="6/14/2014"/>
    <s v="CUST6857"/>
    <s v="Customer 8"/>
    <x v="2"/>
    <x v="1"/>
    <s v="Texas"/>
    <s v="Los Angeles"/>
    <x v="0"/>
    <s v="Storage"/>
    <s v="Product 41"/>
    <n v="774.16"/>
    <n v="9"/>
    <n v="0.3"/>
    <n v="194.42"/>
    <x v="1"/>
    <s v="Low"/>
  </r>
  <r>
    <s v="ORD0009"/>
    <d v="2014-09-06T00:00:00"/>
    <s v="6/14/2014"/>
    <s v="CUST8060"/>
    <s v="Customer 9"/>
    <x v="1"/>
    <x v="0"/>
    <s v="California"/>
    <s v="Miami"/>
    <x v="0"/>
    <s v="Binders"/>
    <s v="Product 40"/>
    <n v="1537.65"/>
    <n v="2"/>
    <n v="0.22"/>
    <n v="524.72"/>
    <x v="2"/>
    <s v="Critical"/>
  </r>
  <r>
    <s v="ORD0010"/>
    <d v="2014-09-06T00:00:00"/>
    <s v="6/14/2014"/>
    <s v="CUST2544"/>
    <s v="Customer 10"/>
    <x v="2"/>
    <x v="1"/>
    <s v="Florida"/>
    <s v="Chicago"/>
    <x v="1"/>
    <s v="Chairs"/>
    <s v="Product 16"/>
    <n v="1226.7"/>
    <n v="4"/>
    <n v="0.01"/>
    <n v="383.95"/>
    <x v="2"/>
    <s v="Critical"/>
  </r>
  <r>
    <s v="ORD0011"/>
    <d v="2014-09-06T00:00:00"/>
    <s v="6/14/2014"/>
    <s v="CUST6531"/>
    <s v="Customer 11"/>
    <x v="2"/>
    <x v="0"/>
    <s v="New York"/>
    <s v="Los Angeles"/>
    <x v="1"/>
    <s v="Phones"/>
    <s v="Product 1"/>
    <n v="1694.48"/>
    <n v="9"/>
    <n v="0.14"/>
    <n v="398.56"/>
    <x v="0"/>
    <s v="Critical"/>
  </r>
  <r>
    <s v="ORD0012"/>
    <d v="2014-09-06T00:00:00"/>
    <s v="6/14/2014"/>
    <s v="CUST2388"/>
    <s v="Customer 12"/>
    <x v="1"/>
    <x v="0"/>
    <s v="California"/>
    <s v="Los Angeles"/>
    <x v="0"/>
    <s v="Tables"/>
    <s v="Product 41"/>
    <n v="3812.16"/>
    <n v="1"/>
    <n v="0.24"/>
    <n v="266.46"/>
    <x v="4"/>
    <s v="Critical"/>
  </r>
  <r>
    <s v="ORD0013"/>
    <s v="4/15/2017"/>
    <s v="4/20/2017"/>
    <s v="CUST3069"/>
    <s v="Customer 13"/>
    <x v="0"/>
    <x v="2"/>
    <s v="Texas"/>
    <s v="Chicago"/>
    <x v="0"/>
    <s v="Tables"/>
    <s v="Product 47"/>
    <n v="2842.49"/>
    <n v="1"/>
    <n v="0.11"/>
    <n v="925.85"/>
    <x v="3"/>
    <s v="Medium"/>
  </r>
  <r>
    <s v="ORD0014"/>
    <d v="2016-05-12T00:00:00"/>
    <d v="2016-10-12T00:00:00"/>
    <s v="CUST7889"/>
    <s v="Customer 14"/>
    <x v="2"/>
    <x v="2"/>
    <s v="California"/>
    <s v="Houston"/>
    <x v="2"/>
    <s v="Chairs"/>
    <s v="Product 18"/>
    <n v="492.65"/>
    <n v="4"/>
    <n v="0.12"/>
    <n v="115.59"/>
    <x v="2"/>
    <s v="High"/>
  </r>
  <r>
    <s v="ORD0015"/>
    <s v="11/22/2015"/>
    <s v="11/26/2015"/>
    <s v="CUST3482"/>
    <s v="Customer 15"/>
    <x v="0"/>
    <x v="0"/>
    <s v="Illinois"/>
    <s v="New York City"/>
    <x v="2"/>
    <s v="Phones"/>
    <s v="Product 31"/>
    <n v="3811.3"/>
    <n v="9"/>
    <n v="0.22"/>
    <n v="583.88"/>
    <x v="4"/>
    <s v="Critical"/>
  </r>
  <r>
    <s v="ORD0016"/>
    <s v="11/22/2015"/>
    <s v="11/26/2015"/>
    <s v="CUST5457"/>
    <s v="Customer 16"/>
    <x v="0"/>
    <x v="2"/>
    <s v="Florida"/>
    <s v="Los Angeles"/>
    <x v="1"/>
    <s v="Chairs"/>
    <s v="Product 28"/>
    <n v="527.84"/>
    <n v="7"/>
    <n v="0.08"/>
    <n v="90.63"/>
    <x v="3"/>
    <s v="Medium"/>
  </r>
  <r>
    <s v="ORD0017"/>
    <d v="2014-11-11T00:00:00"/>
    <s v="11/18/2014"/>
    <s v="CUST5255"/>
    <s v="Customer 17"/>
    <x v="1"/>
    <x v="2"/>
    <s v="California"/>
    <s v="Houston"/>
    <x v="2"/>
    <s v="Binders"/>
    <s v="Product 33"/>
    <n v="188.72"/>
    <n v="2"/>
    <n v="0.07000000000000001"/>
    <n v="47.45"/>
    <x v="0"/>
    <s v="Low"/>
  </r>
  <r>
    <s v="ORD0018"/>
    <s v="5/13/2014"/>
    <s v="5/15/2014"/>
    <s v="CUST5480"/>
    <s v="Customer 18"/>
    <x v="2"/>
    <x v="2"/>
    <s v="New York"/>
    <s v="Miami"/>
    <x v="2"/>
    <s v="Binders"/>
    <s v="Product 39"/>
    <n v="1493.51"/>
    <n v="6"/>
    <n v="0.07000000000000001"/>
    <n v="151.04"/>
    <x v="1"/>
    <s v="Low"/>
  </r>
  <r>
    <s v="ORD0019"/>
    <s v="8/27/2014"/>
    <d v="2014-01-09T00:00:00"/>
    <s v="CUST9417"/>
    <s v="Customer 19"/>
    <x v="0"/>
    <x v="0"/>
    <s v="Illinois"/>
    <s v="Chicago"/>
    <x v="1"/>
    <s v="Chairs"/>
    <s v="Product 49"/>
    <n v="3740.31"/>
    <n v="7"/>
    <n v="0.07000000000000001"/>
    <n v="625.38"/>
    <x v="4"/>
    <s v="High"/>
  </r>
  <r>
    <s v="ORD0020"/>
    <s v="8/27/2014"/>
    <d v="2014-01-09T00:00:00"/>
    <s v="CUST4184"/>
    <s v="Customer 20"/>
    <x v="0"/>
    <x v="1"/>
    <s v="New York"/>
    <s v="New York City"/>
    <x v="2"/>
    <s v="Chairs"/>
    <s v="Product 48"/>
    <n v="2966.79"/>
    <n v="8"/>
    <n v="0.14"/>
    <n v="195.03"/>
    <x v="1"/>
    <s v="Critical"/>
  </r>
  <r>
    <s v="ORD0021"/>
    <s v="8/27/2014"/>
    <d v="2014-01-09T00:00:00"/>
    <s v="CUST4487"/>
    <s v="Customer 21"/>
    <x v="2"/>
    <x v="1"/>
    <s v="Texas"/>
    <s v="Houston"/>
    <x v="1"/>
    <s v="Chairs"/>
    <s v="Product 29"/>
    <n v="785.48"/>
    <n v="8"/>
    <n v="0.06"/>
    <n v="60.65"/>
    <x v="2"/>
    <s v="Low"/>
  </r>
  <r>
    <s v="ORD0022"/>
    <d v="2016-09-12T00:00:00"/>
    <s v="12/13/2016"/>
    <s v="CUST1432"/>
    <s v="Customer 22"/>
    <x v="1"/>
    <x v="1"/>
    <s v="New York"/>
    <s v="Los Angeles"/>
    <x v="1"/>
    <s v="Binders"/>
    <s v="Product 13"/>
    <n v="1494.89"/>
    <n v="6"/>
    <n v="0.07000000000000001"/>
    <n v="419.46"/>
    <x v="2"/>
    <s v="Critical"/>
  </r>
  <r>
    <s v="ORD0023"/>
    <d v="2016-09-12T00:00:00"/>
    <s v="12/13/2016"/>
    <s v="CUST5762"/>
    <s v="Customer 23"/>
    <x v="0"/>
    <x v="0"/>
    <s v="Florida"/>
    <s v="Miami"/>
    <x v="1"/>
    <s v="Chairs"/>
    <s v="Product 44"/>
    <n v="3601.79"/>
    <n v="1"/>
    <n v="0.04"/>
    <n v="575.08"/>
    <x v="1"/>
    <s v="High"/>
  </r>
  <r>
    <s v="ORD0024"/>
    <s v="7/16/2017"/>
    <s v="7/18/2017"/>
    <s v="CUST2013"/>
    <s v="Customer 24"/>
    <x v="1"/>
    <x v="1"/>
    <s v="Texas"/>
    <s v="Chicago"/>
    <x v="1"/>
    <s v="Storage"/>
    <s v="Product 4"/>
    <n v="1018.33"/>
    <n v="7"/>
    <n v="0.16"/>
    <n v="120.02"/>
    <x v="0"/>
    <s v="Medium"/>
  </r>
  <r>
    <s v="ORD0025"/>
    <s v="9/25/2015"/>
    <s v="9/30/2015"/>
    <s v="CUST2537"/>
    <s v="Customer 25"/>
    <x v="0"/>
    <x v="2"/>
    <s v="Florida"/>
    <s v="Miami"/>
    <x v="2"/>
    <s v="Tables"/>
    <s v="Product 2"/>
    <n v="675.86"/>
    <n v="9"/>
    <n v="0.16"/>
    <n v="126.48"/>
    <x v="3"/>
    <s v="Low"/>
  </r>
  <r>
    <s v="ORD0026"/>
    <s v="1/16/2016"/>
    <s v="1/20/2016"/>
    <s v="CUST7672"/>
    <s v="Customer 26"/>
    <x v="0"/>
    <x v="2"/>
    <s v="Florida"/>
    <s v="Houston"/>
    <x v="0"/>
    <s v="Phones"/>
    <s v="Product 38"/>
    <n v="4932.39"/>
    <n v="3"/>
    <n v="0.11"/>
    <n v="363.93"/>
    <x v="2"/>
    <s v="High"/>
  </r>
  <r>
    <s v="ORD0027"/>
    <s v="1/16/2016"/>
    <s v="1/20/2016"/>
    <s v="CUST7871"/>
    <s v="Customer 27"/>
    <x v="1"/>
    <x v="1"/>
    <s v="Texas"/>
    <s v="Miami"/>
    <x v="0"/>
    <s v="Binders"/>
    <s v="Product 30"/>
    <n v="3156.11"/>
    <n v="6"/>
    <n v="0.08"/>
    <n v="482.15"/>
    <x v="3"/>
    <s v="Low"/>
  </r>
  <r>
    <s v="ORD0028"/>
    <s v="9/17/2015"/>
    <s v="9/21/2015"/>
    <s v="CUST3209"/>
    <s v="Customer 28"/>
    <x v="1"/>
    <x v="0"/>
    <s v="California"/>
    <s v="Houston"/>
    <x v="1"/>
    <s v="Phones"/>
    <s v="Product 30"/>
    <n v="586.53"/>
    <n v="5"/>
    <n v="0.24"/>
    <n v="109.15"/>
    <x v="1"/>
    <s v="Medium"/>
  </r>
  <r>
    <s v="ORD0029"/>
    <s v="9/17/2015"/>
    <s v="9/21/2015"/>
    <s v="CUST9516"/>
    <s v="Customer 29"/>
    <x v="2"/>
    <x v="0"/>
    <s v="California"/>
    <s v="Houston"/>
    <x v="1"/>
    <s v="Chairs"/>
    <s v="Product 41"/>
    <n v="1825.88"/>
    <n v="10"/>
    <n v="0.18"/>
    <n v="513.4299999999999"/>
    <x v="0"/>
    <s v="Critical"/>
  </r>
  <r>
    <s v="ORD0030"/>
    <s v="9/17/2015"/>
    <s v="9/21/2015"/>
    <s v="CUST6101"/>
    <s v="Customer 30"/>
    <x v="0"/>
    <x v="1"/>
    <s v="Texas"/>
    <s v="Miami"/>
    <x v="1"/>
    <s v="Phones"/>
    <s v="Product 24"/>
    <n v="4587.03"/>
    <n v="4"/>
    <n v="0.17"/>
    <n v="1198.45"/>
    <x v="1"/>
    <s v="Low"/>
  </r>
  <r>
    <s v="ORD0031"/>
    <s v="9/17/2015"/>
    <s v="9/21/2015"/>
    <s v="CUST7538"/>
    <s v="Customer 31"/>
    <x v="1"/>
    <x v="2"/>
    <s v="Texas"/>
    <s v="New York City"/>
    <x v="1"/>
    <s v="Storage"/>
    <s v="Product 17"/>
    <n v="4582.04"/>
    <n v="1"/>
    <n v="0.07000000000000001"/>
    <n v="701.3200000000001"/>
    <x v="2"/>
    <s v="Medium"/>
  </r>
  <r>
    <s v="ORD0032"/>
    <s v="9/17/2015"/>
    <s v="9/21/2015"/>
    <s v="CUST6262"/>
    <s v="Customer 32"/>
    <x v="1"/>
    <x v="1"/>
    <s v="Texas"/>
    <s v="Chicago"/>
    <x v="2"/>
    <s v="Phones"/>
    <s v="Product 41"/>
    <n v="3931.32"/>
    <n v="5"/>
    <n v="0.01"/>
    <n v="976.97"/>
    <x v="3"/>
    <s v="Medium"/>
  </r>
  <r>
    <s v="ORD0033"/>
    <s v="9/17/2015"/>
    <s v="9/21/2015"/>
    <s v="CUST2377"/>
    <s v="Customer 33"/>
    <x v="1"/>
    <x v="1"/>
    <s v="Texas"/>
    <s v="Los Angeles"/>
    <x v="0"/>
    <s v="Binders"/>
    <s v="Product 42"/>
    <n v="1172.6"/>
    <n v="9"/>
    <n v="0.21"/>
    <n v="165.23"/>
    <x v="1"/>
    <s v="High"/>
  </r>
  <r>
    <s v="ORD0034"/>
    <s v="9/17/2015"/>
    <s v="9/21/2015"/>
    <s v="CUST5504"/>
    <s v="Customer 34"/>
    <x v="1"/>
    <x v="0"/>
    <s v="New York"/>
    <s v="New York City"/>
    <x v="0"/>
    <s v="Tables"/>
    <s v="Product 3"/>
    <n v="949.13"/>
    <n v="2"/>
    <n v="0.26"/>
    <n v="115.77"/>
    <x v="1"/>
    <s v="Low"/>
  </r>
  <r>
    <s v="ORD0035"/>
    <s v="10/19/2017"/>
    <s v="10/23/2017"/>
    <s v="CUST1603"/>
    <s v="Customer 35"/>
    <x v="0"/>
    <x v="0"/>
    <s v="Texas"/>
    <s v="New York City"/>
    <x v="1"/>
    <s v="Phones"/>
    <s v="Product 43"/>
    <n v="1185.82"/>
    <n v="4"/>
    <n v="0.29"/>
    <n v="241.48"/>
    <x v="1"/>
    <s v="Critical"/>
  </r>
  <r>
    <s v="ORD0036"/>
    <d v="2016-08-12T00:00:00"/>
    <d v="2016-10-12T00:00:00"/>
    <s v="CUST9072"/>
    <s v="Customer 36"/>
    <x v="2"/>
    <x v="0"/>
    <s v="Florida"/>
    <s v="New York City"/>
    <x v="1"/>
    <s v="Phones"/>
    <s v="Product 7"/>
    <n v="3980.49"/>
    <n v="3"/>
    <n v="0.21"/>
    <n v="946.4400000000001"/>
    <x v="4"/>
    <s v="Critical"/>
  </r>
  <r>
    <s v="ORD0037"/>
    <d v="2016-08-12T00:00:00"/>
    <d v="2016-10-12T00:00:00"/>
    <s v="CUST5197"/>
    <s v="Customer 37"/>
    <x v="1"/>
    <x v="0"/>
    <s v="California"/>
    <s v="Houston"/>
    <x v="2"/>
    <s v="Tables"/>
    <s v="Product 25"/>
    <n v="2792.81"/>
    <n v="6"/>
    <n v="0.12"/>
    <n v="354.87"/>
    <x v="2"/>
    <s v="Medium"/>
  </r>
  <r>
    <s v="ORD0038"/>
    <s v="12/27/2015"/>
    <s v="12/31/2015"/>
    <s v="CUST6808"/>
    <s v="Customer 38"/>
    <x v="0"/>
    <x v="0"/>
    <s v="Florida"/>
    <s v="Chicago"/>
    <x v="2"/>
    <s v="Chairs"/>
    <s v="Product 15"/>
    <n v="1977.67"/>
    <n v="4"/>
    <n v="0.05"/>
    <n v="246.52"/>
    <x v="0"/>
    <s v="Medium"/>
  </r>
  <r>
    <s v="ORD0039"/>
    <s v="12/27/2015"/>
    <s v="12/31/2015"/>
    <s v="CUST8283"/>
    <s v="Customer 39"/>
    <x v="1"/>
    <x v="3"/>
    <s v="California"/>
    <s v="Miami"/>
    <x v="0"/>
    <s v="Storage"/>
    <s v="Product 25"/>
    <n v="97.55"/>
    <n v="10"/>
    <n v="0.24"/>
    <n v="8.1"/>
    <x v="2"/>
    <s v="Medium"/>
  </r>
  <r>
    <s v="ORD0040"/>
    <s v="12/27/2015"/>
    <s v="12/31/2015"/>
    <s v="CUST9796"/>
    <s v="Customer 40"/>
    <x v="2"/>
    <x v="2"/>
    <s v="Florida"/>
    <s v="Houston"/>
    <x v="0"/>
    <s v="Phones"/>
    <s v="Product 19"/>
    <n v="4420.72"/>
    <n v="1"/>
    <n v="0.12"/>
    <n v="508.5"/>
    <x v="2"/>
    <s v="High"/>
  </r>
  <r>
    <s v="ORD0041"/>
    <s v="12/27/2015"/>
    <s v="12/31/2015"/>
    <s v="CUST5838"/>
    <s v="Customer 41"/>
    <x v="2"/>
    <x v="1"/>
    <s v="Florida"/>
    <s v="Chicago"/>
    <x v="1"/>
    <s v="Phones"/>
    <s v="Product 32"/>
    <n v="3180.11"/>
    <n v="2"/>
    <n v="0.21"/>
    <n v="747.99"/>
    <x v="3"/>
    <s v="Critical"/>
  </r>
  <r>
    <s v="ORD0042"/>
    <d v="2017-10-09T00:00:00"/>
    <s v="9/15/2017"/>
    <s v="CUST4596"/>
    <s v="Customer 42"/>
    <x v="2"/>
    <x v="0"/>
    <s v="Florida"/>
    <s v="Chicago"/>
    <x v="0"/>
    <s v="Phones"/>
    <s v="Product 9"/>
    <n v="3064.85"/>
    <n v="4"/>
    <n v="0.26"/>
    <n v="277.75"/>
    <x v="4"/>
    <s v="Medium"/>
  </r>
  <r>
    <s v="ORD0043"/>
    <s v="7/17/2016"/>
    <s v="7/22/2016"/>
    <s v="CUST5113"/>
    <s v="Customer 43"/>
    <x v="2"/>
    <x v="1"/>
    <s v="Illinois"/>
    <s v="Houston"/>
    <x v="2"/>
    <s v="Phones"/>
    <s v="Product 10"/>
    <n v="3137.97"/>
    <n v="8"/>
    <n v="0.22"/>
    <n v="512.88"/>
    <x v="0"/>
    <s v="High"/>
  </r>
  <r>
    <s v="ORD0044"/>
    <s v="9/19/2017"/>
    <s v="9/23/2017"/>
    <s v="CUST4653"/>
    <s v="Customer 44"/>
    <x v="2"/>
    <x v="3"/>
    <s v="New York"/>
    <s v="Chicago"/>
    <x v="2"/>
    <s v="Phones"/>
    <s v="Product 9"/>
    <n v="1197.65"/>
    <n v="5"/>
    <n v="0.04"/>
    <n v="371.59"/>
    <x v="3"/>
    <s v="Medium"/>
  </r>
  <r>
    <s v="ORD0045"/>
    <d v="2016-11-03T00:00:00"/>
    <s v="3/13/2016"/>
    <s v="CUST1195"/>
    <s v="Customer 45"/>
    <x v="2"/>
    <x v="1"/>
    <s v="Florida"/>
    <s v="New York City"/>
    <x v="2"/>
    <s v="Phones"/>
    <s v="Product 31"/>
    <n v="1057.95"/>
    <n v="4"/>
    <n v="0.18"/>
    <n v="358.4"/>
    <x v="0"/>
    <s v="High"/>
  </r>
  <r>
    <s v="ORD0046"/>
    <d v="2016-11-03T00:00:00"/>
    <s v="3/13/2016"/>
    <s v="CUST6682"/>
    <s v="Customer 46"/>
    <x v="2"/>
    <x v="2"/>
    <s v="Illinois"/>
    <s v="Houston"/>
    <x v="0"/>
    <s v="Chairs"/>
    <s v="Product 24"/>
    <n v="802.9299999999999"/>
    <n v="5"/>
    <n v="0.02"/>
    <n v="88"/>
    <x v="3"/>
    <s v="Critical"/>
  </r>
  <r>
    <s v="ORD0047"/>
    <s v="10/20/2014"/>
    <s v="10/25/2014"/>
    <s v="CUST9557"/>
    <s v="Customer 47"/>
    <x v="1"/>
    <x v="3"/>
    <s v="New York"/>
    <s v="New York City"/>
    <x v="0"/>
    <s v="Chairs"/>
    <s v="Product 42"/>
    <n v="607.1900000000001"/>
    <n v="2"/>
    <n v="0.02"/>
    <n v="178.32"/>
    <x v="2"/>
    <s v="Low"/>
  </r>
  <r>
    <s v="ORD0048"/>
    <s v="6/20/2016"/>
    <s v="6/25/2016"/>
    <s v="CUST5362"/>
    <s v="Customer 48"/>
    <x v="2"/>
    <x v="2"/>
    <s v="Florida"/>
    <s v="Houston"/>
    <x v="0"/>
    <s v="Storage"/>
    <s v="Product 20"/>
    <n v="1520.37"/>
    <n v="10"/>
    <n v="0.07000000000000001"/>
    <n v="204.29"/>
    <x v="2"/>
    <s v="Critical"/>
  </r>
  <r>
    <s v="ORD0049"/>
    <s v="6/20/2016"/>
    <s v="6/25/2016"/>
    <s v="CUST2294"/>
    <s v="Customer 49"/>
    <x v="1"/>
    <x v="2"/>
    <s v="New York"/>
    <s v="Chicago"/>
    <x v="2"/>
    <s v="Tables"/>
    <s v="Product 24"/>
    <n v="3711.87"/>
    <n v="5"/>
    <n v="0.03"/>
    <n v="881.67"/>
    <x v="0"/>
    <s v="Medium"/>
  </r>
  <r>
    <s v="ORD0050"/>
    <s v="4/18/2015"/>
    <s v="4/22/2015"/>
    <s v="CUST7946"/>
    <s v="Customer 50"/>
    <x v="0"/>
    <x v="1"/>
    <s v="Florida"/>
    <s v="Miami"/>
    <x v="0"/>
    <s v="Chairs"/>
    <s v="Product 42"/>
    <n v="1695.91"/>
    <n v="4"/>
    <n v="0.2"/>
    <n v="150.83"/>
    <x v="3"/>
    <s v="Medium"/>
  </r>
  <r>
    <s v="ORD0051"/>
    <s v="4/18/2015"/>
    <s v="4/22/2015"/>
    <s v="CUST9380"/>
    <s v="Customer 51"/>
    <x v="0"/>
    <x v="2"/>
    <s v="California"/>
    <s v="Houston"/>
    <x v="0"/>
    <s v="Storage"/>
    <s v="Product 18"/>
    <n v="96.45999999999999"/>
    <n v="9"/>
    <n v="0.02"/>
    <n v="23.27"/>
    <x v="2"/>
    <s v="Low"/>
  </r>
  <r>
    <s v="ORD0052"/>
    <s v="4/18/2015"/>
    <s v="4/22/2015"/>
    <s v="CUST9208"/>
    <s v="Customer 52"/>
    <x v="2"/>
    <x v="1"/>
    <s v="New York"/>
    <s v="New York City"/>
    <x v="2"/>
    <s v="Storage"/>
    <s v="Product 35"/>
    <n v="4520.2"/>
    <n v="9"/>
    <n v="0.24"/>
    <n v="876.73"/>
    <x v="4"/>
    <s v="Low"/>
  </r>
  <r>
    <s v="ORD0053"/>
    <s v="4/18/2015"/>
    <s v="4/22/2015"/>
    <s v="CUST7328"/>
    <s v="Customer 53"/>
    <x v="2"/>
    <x v="1"/>
    <s v="California"/>
    <s v="Chicago"/>
    <x v="1"/>
    <s v="Chairs"/>
    <s v="Product 12"/>
    <n v="1652.39"/>
    <n v="10"/>
    <n v="0.15"/>
    <n v="482.56"/>
    <x v="4"/>
    <s v="Medium"/>
  </r>
  <r>
    <s v="ORD0054"/>
    <d v="2016-11-12T00:00:00"/>
    <s v="12/17/2016"/>
    <s v="CUST2719"/>
    <s v="Customer 54"/>
    <x v="0"/>
    <x v="1"/>
    <s v="California"/>
    <s v="Houston"/>
    <x v="1"/>
    <s v="Binders"/>
    <s v="Product 39"/>
    <n v="2122.73"/>
    <n v="10"/>
    <n v="0.22"/>
    <n v="618.67"/>
    <x v="1"/>
    <s v="Low"/>
  </r>
  <r>
    <s v="ORD0055"/>
    <d v="2016-11-12T00:00:00"/>
    <s v="12/17/2016"/>
    <s v="CUST5286"/>
    <s v="Customer 55"/>
    <x v="2"/>
    <x v="1"/>
    <s v="Florida"/>
    <s v="Chicago"/>
    <x v="2"/>
    <s v="Storage"/>
    <s v="Product 40"/>
    <n v="3624.16"/>
    <n v="3"/>
    <n v="0.21"/>
    <n v="424.71"/>
    <x v="2"/>
    <s v="Low"/>
  </r>
  <r>
    <s v="ORD0056"/>
    <s v="6/17/2016"/>
    <s v="6/18/2016"/>
    <s v="CUST6015"/>
    <s v="Customer 56"/>
    <x v="0"/>
    <x v="2"/>
    <s v="Illinois"/>
    <s v="New York City"/>
    <x v="0"/>
    <s v="Tables"/>
    <s v="Product 40"/>
    <n v="810.74"/>
    <n v="7"/>
    <n v="0.27"/>
    <n v="107.42"/>
    <x v="2"/>
    <s v="Medium"/>
  </r>
  <r>
    <s v="ORD0057"/>
    <s v="6/17/2016"/>
    <s v="6/18/2016"/>
    <s v="CUST9289"/>
    <s v="Customer 57"/>
    <x v="0"/>
    <x v="0"/>
    <s v="Florida"/>
    <s v="New York City"/>
    <x v="0"/>
    <s v="Chairs"/>
    <s v="Product 25"/>
    <n v="1894.58"/>
    <n v="5"/>
    <n v="0.03"/>
    <n v="408.53"/>
    <x v="3"/>
    <s v="Low"/>
  </r>
  <r>
    <s v="ORD0058"/>
    <s v="6/17/2016"/>
    <s v="6/18/2016"/>
    <s v="CUST2069"/>
    <s v="Customer 58"/>
    <x v="1"/>
    <x v="1"/>
    <s v="New York"/>
    <s v="Los Angeles"/>
    <x v="0"/>
    <s v="Binders"/>
    <s v="Product 13"/>
    <n v="2385.16"/>
    <n v="5"/>
    <n v="0.12"/>
    <n v="235.61"/>
    <x v="1"/>
    <s v="Critical"/>
  </r>
  <r>
    <s v="ORD0059"/>
    <s v="6/17/2016"/>
    <s v="6/18/2016"/>
    <s v="CUST3480"/>
    <s v="Customer 59"/>
    <x v="1"/>
    <x v="0"/>
    <s v="Florida"/>
    <s v="New York City"/>
    <x v="0"/>
    <s v="Storage"/>
    <s v="Product 34"/>
    <n v="2749.14"/>
    <n v="1"/>
    <n v="0.14"/>
    <n v="355.22"/>
    <x v="2"/>
    <s v="High"/>
  </r>
  <r>
    <s v="ORD0060"/>
    <s v="6/17/2016"/>
    <s v="6/18/2016"/>
    <s v="CUST6025"/>
    <s v="Customer 60"/>
    <x v="1"/>
    <x v="3"/>
    <s v="New York"/>
    <s v="Miami"/>
    <x v="2"/>
    <s v="Chairs"/>
    <s v="Product 28"/>
    <n v="532.27"/>
    <n v="8"/>
    <n v="0.1"/>
    <n v="142"/>
    <x v="3"/>
    <s v="Medium"/>
  </r>
  <r>
    <s v="ORD0061"/>
    <s v="6/17/2016"/>
    <s v="6/18/2016"/>
    <s v="CUST5993"/>
    <s v="Customer 61"/>
    <x v="2"/>
    <x v="1"/>
    <s v="Illinois"/>
    <s v="Houston"/>
    <x v="0"/>
    <s v="Storage"/>
    <s v="Product 27"/>
    <n v="2331.98"/>
    <n v="2"/>
    <n v="0.28"/>
    <n v="122.15"/>
    <x v="2"/>
    <s v="Critical"/>
  </r>
  <r>
    <s v="ORD0062"/>
    <s v="6/17/2016"/>
    <s v="6/18/2016"/>
    <s v="CUST5195"/>
    <s v="Customer 62"/>
    <x v="1"/>
    <x v="0"/>
    <s v="New York"/>
    <s v="Chicago"/>
    <x v="1"/>
    <s v="Phones"/>
    <s v="Product 16"/>
    <n v="3596.35"/>
    <n v="3"/>
    <n v="0.05"/>
    <n v="1169.87"/>
    <x v="1"/>
    <s v="High"/>
  </r>
  <r>
    <s v="ORD0063"/>
    <s v="11/24/2015"/>
    <s v="11/30/2015"/>
    <s v="CUST6882"/>
    <s v="Customer 63"/>
    <x v="2"/>
    <x v="0"/>
    <s v="Texas"/>
    <s v="Chicago"/>
    <x v="1"/>
    <s v="Chairs"/>
    <s v="Product 41"/>
    <n v="2720.31"/>
    <n v="10"/>
    <n v="0.28"/>
    <n v="407.58"/>
    <x v="1"/>
    <s v="Low"/>
  </r>
  <r>
    <s v="ORD0064"/>
    <s v="11/24/2015"/>
    <s v="11/30/2015"/>
    <s v="CUST2762"/>
    <s v="Customer 64"/>
    <x v="1"/>
    <x v="3"/>
    <s v="California"/>
    <s v="Chicago"/>
    <x v="0"/>
    <s v="Storage"/>
    <s v="Product 37"/>
    <n v="3507.21"/>
    <n v="8"/>
    <n v="0.18"/>
    <n v="700.39"/>
    <x v="0"/>
    <s v="Medium"/>
  </r>
  <r>
    <s v="ORD0065"/>
    <s v="11/24/2015"/>
    <s v="11/30/2015"/>
    <s v="CUST8707"/>
    <s v="Customer 65"/>
    <x v="1"/>
    <x v="0"/>
    <s v="New York"/>
    <s v="Chicago"/>
    <x v="2"/>
    <s v="Tables"/>
    <s v="Product 5"/>
    <n v="3624.61"/>
    <n v="10"/>
    <n v="0.1"/>
    <n v="986.08"/>
    <x v="4"/>
    <s v="Critical"/>
  </r>
  <r>
    <s v="ORD0066"/>
    <s v="11/24/2015"/>
    <s v="11/30/2015"/>
    <s v="CUST6718"/>
    <s v="Customer 66"/>
    <x v="1"/>
    <x v="3"/>
    <s v="California"/>
    <s v="New York City"/>
    <x v="2"/>
    <s v="Binders"/>
    <s v="Product 31"/>
    <n v="1020.32"/>
    <n v="9"/>
    <n v="0.13"/>
    <n v="87.36"/>
    <x v="4"/>
    <s v="Medium"/>
  </r>
  <r>
    <s v="ORD0067"/>
    <s v="4/30/2015"/>
    <d v="2015-05-05T00:00:00"/>
    <s v="CUST3424"/>
    <s v="Customer 67"/>
    <x v="1"/>
    <x v="2"/>
    <s v="California"/>
    <s v="New York City"/>
    <x v="2"/>
    <s v="Tables"/>
    <s v="Product 12"/>
    <n v="3427.9"/>
    <n v="10"/>
    <n v="0.1"/>
    <n v="216.15"/>
    <x v="1"/>
    <s v="Low"/>
  </r>
  <r>
    <s v="ORD0068"/>
    <d v="2014-05-12T00:00:00"/>
    <d v="2014-10-12T00:00:00"/>
    <s v="CUST7846"/>
    <s v="Customer 68"/>
    <x v="1"/>
    <x v="2"/>
    <s v="Texas"/>
    <s v="Houston"/>
    <x v="1"/>
    <s v="Chairs"/>
    <s v="Product 35"/>
    <n v="2861.94"/>
    <n v="10"/>
    <n v="0.11"/>
    <n v="832.55"/>
    <x v="3"/>
    <s v="Critical"/>
  </r>
  <r>
    <s v="ORD0069"/>
    <d v="2014-05-12T00:00:00"/>
    <d v="2014-10-12T00:00:00"/>
    <s v="CUST6997"/>
    <s v="Customer 69"/>
    <x v="1"/>
    <x v="2"/>
    <s v="Florida"/>
    <s v="Miami"/>
    <x v="2"/>
    <s v="Chairs"/>
    <s v="Product 28"/>
    <n v="895.71"/>
    <n v="9"/>
    <n v="0.24"/>
    <n v="133.59"/>
    <x v="3"/>
    <s v="Critical"/>
  </r>
  <r>
    <s v="ORD0070"/>
    <d v="2016-04-06T00:00:00"/>
    <d v="2016-06-06T00:00:00"/>
    <s v="CUST6218"/>
    <s v="Customer 70"/>
    <x v="1"/>
    <x v="3"/>
    <s v="Illinois"/>
    <s v="Chicago"/>
    <x v="1"/>
    <s v="Binders"/>
    <s v="Product 21"/>
    <n v="4828.21"/>
    <n v="7"/>
    <n v="0.16"/>
    <n v="835.22"/>
    <x v="3"/>
    <s v="High"/>
  </r>
  <r>
    <s v="ORD0071"/>
    <s v="9/18/2016"/>
    <s v="9/23/2016"/>
    <s v="CUST7170"/>
    <s v="Customer 71"/>
    <x v="1"/>
    <x v="2"/>
    <s v="Texas"/>
    <s v="Los Angeles"/>
    <x v="2"/>
    <s v="Phones"/>
    <s v="Product 27"/>
    <n v="4214.49"/>
    <n v="5"/>
    <n v="0.02"/>
    <n v="444.03"/>
    <x v="0"/>
    <s v="Low"/>
  </r>
  <r>
    <s v="ORD0072"/>
    <s v="9/14/2017"/>
    <s v="9/17/2017"/>
    <s v="CUST9997"/>
    <s v="Customer 72"/>
    <x v="2"/>
    <x v="2"/>
    <s v="New York"/>
    <s v="Los Angeles"/>
    <x v="2"/>
    <s v="Phones"/>
    <s v="Product 43"/>
    <n v="1247.26"/>
    <n v="1"/>
    <n v="0"/>
    <n v="112.48"/>
    <x v="4"/>
    <s v="Medium"/>
  </r>
  <r>
    <s v="ORD0073"/>
    <s v="4/26/2015"/>
    <d v="2015-02-05T00:00:00"/>
    <s v="CUST3363"/>
    <s v="Customer 73"/>
    <x v="1"/>
    <x v="2"/>
    <s v="Florida"/>
    <s v="Miami"/>
    <x v="1"/>
    <s v="Tables"/>
    <s v="Product 31"/>
    <n v="1072.54"/>
    <n v="3"/>
    <n v="0.1"/>
    <n v="159.71"/>
    <x v="3"/>
    <s v="Medium"/>
  </r>
  <r>
    <s v="ORD0074"/>
    <s v="4/26/2015"/>
    <d v="2015-02-05T00:00:00"/>
    <s v="CUST1540"/>
    <s v="Customer 74"/>
    <x v="2"/>
    <x v="2"/>
    <s v="New York"/>
    <s v="Chicago"/>
    <x v="0"/>
    <s v="Phones"/>
    <s v="Product 35"/>
    <n v="2499.04"/>
    <n v="8"/>
    <n v="0.07000000000000001"/>
    <n v="578.1799999999999"/>
    <x v="3"/>
    <s v="Critical"/>
  </r>
  <r>
    <s v="ORD0075"/>
    <s v="4/26/2015"/>
    <d v="2015-02-05T00:00:00"/>
    <s v="CUST2661"/>
    <s v="Customer 75"/>
    <x v="1"/>
    <x v="3"/>
    <s v="Texas"/>
    <s v="Houston"/>
    <x v="0"/>
    <s v="Tables"/>
    <s v="Product 39"/>
    <n v="4867.28"/>
    <n v="4"/>
    <n v="0.3"/>
    <n v="897.35"/>
    <x v="4"/>
    <s v="Critical"/>
  </r>
  <r>
    <s v="ORD0076"/>
    <d v="2017-09-12T00:00:00"/>
    <d v="2017-11-12T00:00:00"/>
    <s v="CUST8386"/>
    <s v="Customer 76"/>
    <x v="1"/>
    <x v="1"/>
    <s v="Illinois"/>
    <s v="New York City"/>
    <x v="1"/>
    <s v="Chairs"/>
    <s v="Product 15"/>
    <n v="2755.11"/>
    <n v="6"/>
    <n v="0.15"/>
    <n v="868.72"/>
    <x v="0"/>
    <s v="Medium"/>
  </r>
  <r>
    <s v="ORD0077"/>
    <d v="2017-09-12T00:00:00"/>
    <d v="2017-11-12T00:00:00"/>
    <s v="CUST7894"/>
    <s v="Customer 77"/>
    <x v="0"/>
    <x v="0"/>
    <s v="New York"/>
    <s v="Chicago"/>
    <x v="1"/>
    <s v="Chairs"/>
    <s v="Product 39"/>
    <n v="3598.23"/>
    <n v="3"/>
    <n v="0.06"/>
    <n v="913.4"/>
    <x v="1"/>
    <s v="Critical"/>
  </r>
  <r>
    <s v="ORD0078"/>
    <d v="2017-09-12T00:00:00"/>
    <d v="2017-11-12T00:00:00"/>
    <s v="CUST9951"/>
    <s v="Customer 78"/>
    <x v="1"/>
    <x v="2"/>
    <s v="Illinois"/>
    <s v="Houston"/>
    <x v="1"/>
    <s v="Phones"/>
    <s v="Product 48"/>
    <n v="1092.54"/>
    <n v="6"/>
    <n v="0.24"/>
    <n v="172.65"/>
    <x v="2"/>
    <s v="High"/>
  </r>
  <r>
    <s v="ORD0079"/>
    <s v="11/26/2014"/>
    <d v="2014-01-12T00:00:00"/>
    <s v="CUST5637"/>
    <s v="Customer 79"/>
    <x v="0"/>
    <x v="3"/>
    <s v="Florida"/>
    <s v="Miami"/>
    <x v="1"/>
    <s v="Storage"/>
    <s v="Product 11"/>
    <n v="1147.02"/>
    <n v="5"/>
    <n v="0.08"/>
    <n v="198.17"/>
    <x v="0"/>
    <s v="High"/>
  </r>
  <r>
    <s v="ORD0080"/>
    <d v="2016-12-06T00:00:00"/>
    <s v="6/15/2016"/>
    <s v="CUST4065"/>
    <s v="Customer 80"/>
    <x v="1"/>
    <x v="3"/>
    <s v="Florida"/>
    <s v="Chicago"/>
    <x v="0"/>
    <s v="Tables"/>
    <s v="Product 40"/>
    <n v="123.4"/>
    <n v="10"/>
    <n v="0.21"/>
    <n v="14.16"/>
    <x v="1"/>
    <s v="Critical"/>
  </r>
  <r>
    <s v="ORD0081"/>
    <d v="2016-12-06T00:00:00"/>
    <s v="6/15/2016"/>
    <s v="CUST5326"/>
    <s v="Customer 81"/>
    <x v="2"/>
    <x v="1"/>
    <s v="California"/>
    <s v="Houston"/>
    <x v="2"/>
    <s v="Binders"/>
    <s v="Product 32"/>
    <n v="2099.71"/>
    <n v="4"/>
    <n v="0.02"/>
    <n v="236.14"/>
    <x v="1"/>
    <s v="High"/>
  </r>
  <r>
    <s v="ORD0082"/>
    <d v="2014-12-10T00:00:00"/>
    <s v="10/16/2014"/>
    <s v="CUST7970"/>
    <s v="Customer 82"/>
    <x v="0"/>
    <x v="1"/>
    <s v="Illinois"/>
    <s v="Miami"/>
    <x v="1"/>
    <s v="Binders"/>
    <s v="Product 8"/>
    <n v="2917.1"/>
    <n v="7"/>
    <n v="0.17"/>
    <n v="281.5"/>
    <x v="1"/>
    <s v="Low"/>
  </r>
  <r>
    <s v="ORD0083"/>
    <d v="2014-12-10T00:00:00"/>
    <s v="10/16/2014"/>
    <s v="CUST9958"/>
    <s v="Customer 83"/>
    <x v="2"/>
    <x v="3"/>
    <s v="Illinois"/>
    <s v="Chicago"/>
    <x v="1"/>
    <s v="Storage"/>
    <s v="Product 33"/>
    <n v="2485.47"/>
    <n v="8"/>
    <n v="0.1"/>
    <n v="469.6"/>
    <x v="1"/>
    <s v="Low"/>
  </r>
  <r>
    <s v="ORD0084"/>
    <d v="2015-03-09T00:00:00"/>
    <d v="2015-08-09T00:00:00"/>
    <s v="CUST7806"/>
    <s v="Customer 84"/>
    <x v="0"/>
    <x v="1"/>
    <s v="California"/>
    <s v="Houston"/>
    <x v="2"/>
    <s v="Phones"/>
    <s v="Product 16"/>
    <n v="864.84"/>
    <n v="1"/>
    <n v="0.25"/>
    <n v="83.12"/>
    <x v="3"/>
    <s v="Critical"/>
  </r>
  <r>
    <s v="ORD0085"/>
    <s v="11/13/2017"/>
    <s v="11/16/2017"/>
    <s v="CUST7298"/>
    <s v="Customer 85"/>
    <x v="1"/>
    <x v="2"/>
    <s v="Florida"/>
    <s v="Los Angeles"/>
    <x v="2"/>
    <s v="Phones"/>
    <s v="Product 29"/>
    <n v="4149.61"/>
    <n v="4"/>
    <n v="0.08"/>
    <n v="875.16"/>
    <x v="0"/>
    <s v="Medium"/>
  </r>
  <r>
    <s v="ORD0086"/>
    <s v="5/28/2017"/>
    <s v="5/30/2017"/>
    <s v="CUST7635"/>
    <s v="Customer 86"/>
    <x v="2"/>
    <x v="2"/>
    <s v="New York"/>
    <s v="Miami"/>
    <x v="2"/>
    <s v="Binders"/>
    <s v="Product 26"/>
    <n v="1831.24"/>
    <n v="3"/>
    <n v="0.28"/>
    <n v="120.76"/>
    <x v="2"/>
    <s v="High"/>
  </r>
  <r>
    <s v="ORD0087"/>
    <s v="10/26/2017"/>
    <d v="2017-02-11T00:00:00"/>
    <s v="CUST7580"/>
    <s v="Customer 87"/>
    <x v="2"/>
    <x v="3"/>
    <s v="New York"/>
    <s v="Chicago"/>
    <x v="0"/>
    <s v="Chairs"/>
    <s v="Product 26"/>
    <n v="4702.96"/>
    <n v="2"/>
    <n v="0.01"/>
    <n v="714.59"/>
    <x v="1"/>
    <s v="Low"/>
  </r>
  <r>
    <s v="ORD0088"/>
    <s v="10/26/2017"/>
    <d v="2017-02-11T00:00:00"/>
    <s v="CUST2411"/>
    <s v="Customer 88"/>
    <x v="1"/>
    <x v="0"/>
    <s v="California"/>
    <s v="Los Angeles"/>
    <x v="2"/>
    <s v="Phones"/>
    <s v="Product 37"/>
    <n v="895.84"/>
    <n v="6"/>
    <n v="0.12"/>
    <n v="157.34"/>
    <x v="2"/>
    <s v="High"/>
  </r>
  <r>
    <s v="ORD0089"/>
    <d v="2016-05-04T00:00:00"/>
    <d v="2016-10-04T00:00:00"/>
    <s v="CUST8873"/>
    <s v="Customer 89"/>
    <x v="0"/>
    <x v="1"/>
    <s v="New York"/>
    <s v="Miami"/>
    <x v="2"/>
    <s v="Chairs"/>
    <s v="Product 48"/>
    <n v="1918.93"/>
    <n v="9"/>
    <n v="0.11"/>
    <n v="338.3"/>
    <x v="3"/>
    <s v="Low"/>
  </r>
  <r>
    <s v="ORD0090"/>
    <s v="9/17/2016"/>
    <s v="9/22/2016"/>
    <s v="CUST9301"/>
    <s v="Customer 90"/>
    <x v="0"/>
    <x v="1"/>
    <s v="Florida"/>
    <s v="Houston"/>
    <x v="0"/>
    <s v="Storage"/>
    <s v="Product 50"/>
    <n v="1953.71"/>
    <n v="1"/>
    <n v="0.26"/>
    <n v="680.05"/>
    <x v="0"/>
    <s v="Critical"/>
  </r>
  <r>
    <s v="ORD0091"/>
    <s v="9/17/2016"/>
    <s v="9/22/2016"/>
    <s v="CUST6850"/>
    <s v="Customer 91"/>
    <x v="1"/>
    <x v="3"/>
    <s v="Illinois"/>
    <s v="Houston"/>
    <x v="2"/>
    <s v="Phones"/>
    <s v="Product 19"/>
    <n v="3863.59"/>
    <n v="4"/>
    <n v="0.16"/>
    <n v="1157.47"/>
    <x v="4"/>
    <s v="Medium"/>
  </r>
  <r>
    <s v="ORD0092"/>
    <s v="9/17/2016"/>
    <s v="9/22/2016"/>
    <s v="CUST9796"/>
    <s v="Customer 92"/>
    <x v="0"/>
    <x v="3"/>
    <s v="Illinois"/>
    <s v="Miami"/>
    <x v="0"/>
    <s v="Storage"/>
    <s v="Product 34"/>
    <n v="2754.41"/>
    <n v="8"/>
    <n v="0.2"/>
    <n v="777.04"/>
    <x v="4"/>
    <s v="Low"/>
  </r>
  <r>
    <s v="ORD0093"/>
    <s v="1/31/2015"/>
    <d v="2015-05-02T00:00:00"/>
    <s v="CUST9072"/>
    <s v="Customer 93"/>
    <x v="0"/>
    <x v="0"/>
    <s v="New York"/>
    <s v="Houston"/>
    <x v="0"/>
    <s v="Tables"/>
    <s v="Product 27"/>
    <n v="1458.96"/>
    <n v="8"/>
    <n v="0.13"/>
    <n v="277.88"/>
    <x v="0"/>
    <s v="Critical"/>
  </r>
  <r>
    <s v="ORD0094"/>
    <s v="1/31/2015"/>
    <d v="2015-05-02T00:00:00"/>
    <s v="CUST9920"/>
    <s v="Customer 94"/>
    <x v="1"/>
    <x v="2"/>
    <s v="New York"/>
    <s v="Chicago"/>
    <x v="0"/>
    <s v="Phones"/>
    <s v="Product 18"/>
    <n v="3899.94"/>
    <n v="4"/>
    <n v="0.17"/>
    <n v="492.53"/>
    <x v="1"/>
    <s v="Low"/>
  </r>
  <r>
    <s v="ORD0095"/>
    <s v="1/31/2015"/>
    <d v="2015-05-02T00:00:00"/>
    <s v="CUST4573"/>
    <s v="Customer 95"/>
    <x v="0"/>
    <x v="3"/>
    <s v="Illinois"/>
    <s v="Chicago"/>
    <x v="0"/>
    <s v="Storage"/>
    <s v="Product 17"/>
    <n v="1863.66"/>
    <n v="9"/>
    <n v="0.27"/>
    <n v="431.31"/>
    <x v="2"/>
    <s v="Low"/>
  </r>
  <r>
    <s v="ORD0096"/>
    <d v="2017-06-11T00:00:00"/>
    <d v="2017-12-11T00:00:00"/>
    <s v="CUST9300"/>
    <s v="Customer 96"/>
    <x v="0"/>
    <x v="3"/>
    <s v="Texas"/>
    <s v="Chicago"/>
    <x v="2"/>
    <s v="Binders"/>
    <s v="Product 6"/>
    <n v="1067.43"/>
    <n v="8"/>
    <n v="0.11"/>
    <n v="139.09"/>
    <x v="1"/>
    <s v="High"/>
  </r>
  <r>
    <s v="ORD0097"/>
    <d v="2017-09-11T00:00:00"/>
    <d v="2017-11-11T00:00:00"/>
    <s v="CUST6455"/>
    <s v="Customer 97"/>
    <x v="2"/>
    <x v="1"/>
    <s v="Florida"/>
    <s v="Los Angeles"/>
    <x v="2"/>
    <s v="Storage"/>
    <s v="Product 4"/>
    <n v="3038.54"/>
    <n v="10"/>
    <n v="0.14"/>
    <n v="935.16"/>
    <x v="2"/>
    <s v="High"/>
  </r>
  <r>
    <s v="ORD0098"/>
    <s v="6/17/2017"/>
    <s v="6/20/2017"/>
    <s v="CUST6224"/>
    <s v="Customer 98"/>
    <x v="1"/>
    <x v="3"/>
    <s v="Florida"/>
    <s v="Los Angeles"/>
    <x v="2"/>
    <s v="Tables"/>
    <s v="Product 4"/>
    <n v="4402.57"/>
    <n v="2"/>
    <n v="0.14"/>
    <n v="1388.61"/>
    <x v="4"/>
    <s v="High"/>
  </r>
  <r>
    <s v="ORD0099"/>
    <d v="2016-06-09T00:00:00"/>
    <d v="2016-11-09T00:00:00"/>
    <s v="CUST2668"/>
    <s v="Customer 99"/>
    <x v="1"/>
    <x v="2"/>
    <s v="Illinois"/>
    <s v="Houston"/>
    <x v="0"/>
    <s v="Tables"/>
    <s v="Product 32"/>
    <n v="4931.09"/>
    <n v="3"/>
    <n v="0.2"/>
    <n v="1589.75"/>
    <x v="3"/>
    <s v="High"/>
  </r>
  <r>
    <s v="ORD0100"/>
    <s v="8/29/2016"/>
    <d v="2016-02-09T00:00:00"/>
    <s v="CUST9069"/>
    <s v="Customer 100"/>
    <x v="1"/>
    <x v="3"/>
    <s v="Illinois"/>
    <s v="Houston"/>
    <x v="1"/>
    <s v="Binders"/>
    <s v="Product 16"/>
    <n v="1028.25"/>
    <n v="6"/>
    <n v="0.28"/>
    <n v="211.85"/>
    <x v="2"/>
    <s v="High"/>
  </r>
</pivotCacheRecords>
</file>

<file path=xl/pivotCache/pivotCacheRecords2.xml><?xml version="1.0" encoding="utf-8"?>
<pivotCacheRecords xmlns="http://schemas.openxmlformats.org/spreadsheetml/2006/main" count="100">
  <r>
    <s v="ORD0001"/>
    <d v="2016-08-11T00:00:00"/>
    <d v="2016-11-11T00:00:00"/>
    <s v="CUST9340"/>
    <s v="Customer 1"/>
    <x v="0"/>
    <x v="0"/>
    <s v="California"/>
    <s v="New York City"/>
    <x v="0"/>
    <s v="Chairs"/>
    <s v="Product 3"/>
    <n v="1001.58"/>
    <n v="8"/>
    <n v="0.12"/>
    <n v="142.51"/>
    <x v="0"/>
    <s v="High"/>
  </r>
  <r>
    <s v="ORD0002"/>
    <d v="2016-08-11T00:00:00"/>
    <d v="2016-11-11T00:00:00"/>
    <s v="CUST9705"/>
    <s v="Customer 2"/>
    <x v="0"/>
    <x v="1"/>
    <s v="Texas"/>
    <s v="Los Angeles"/>
    <x v="1"/>
    <s v="Chairs"/>
    <s v="Product 26"/>
    <n v="4468.06"/>
    <n v="1"/>
    <n v="0.1"/>
    <n v="250.04"/>
    <x v="0"/>
    <s v="Medium"/>
  </r>
  <r>
    <s v="ORD0003"/>
    <d v="2016-12-06T00:00:00"/>
    <s v="6/16/2016"/>
    <s v="CUST4273"/>
    <s v="Customer 3"/>
    <x v="1"/>
    <x v="1"/>
    <s v="Florida"/>
    <s v="New York City"/>
    <x v="1"/>
    <s v="Storage"/>
    <s v="Product 31"/>
    <n v="2842.6"/>
    <n v="1"/>
    <n v="0.24"/>
    <n v="361.62"/>
    <x v="1"/>
    <s v="Critical"/>
  </r>
  <r>
    <s v="ORD0004"/>
    <d v="2015-11-10T00:00:00"/>
    <s v="10/18/2015"/>
    <s v="CUST5155"/>
    <s v="Customer 4"/>
    <x v="2"/>
    <x v="2"/>
    <s v="Florida"/>
    <s v="Chicago"/>
    <x v="0"/>
    <s v="Phones"/>
    <s v="Product 33"/>
    <n v="4667.41"/>
    <n v="5"/>
    <n v="0.03"/>
    <n v="529.16"/>
    <x v="2"/>
    <s v="Medium"/>
  </r>
  <r>
    <s v="ORD0005"/>
    <d v="2015-11-10T00:00:00"/>
    <s v="10/18/2015"/>
    <s v="CUST5111"/>
    <s v="Customer 5"/>
    <x v="0"/>
    <x v="3"/>
    <s v="Illinois"/>
    <s v="Miami"/>
    <x v="0"/>
    <s v="Binders"/>
    <s v="Product 38"/>
    <n v="3014.29"/>
    <n v="7"/>
    <n v="0.18"/>
    <n v="909.5"/>
    <x v="3"/>
    <s v="Medium"/>
  </r>
  <r>
    <s v="ORD0006"/>
    <d v="2014-09-06T00:00:00"/>
    <s v="6/14/2014"/>
    <s v="CUST1687"/>
    <s v="Customer 6"/>
    <x v="2"/>
    <x v="0"/>
    <s v="Texas"/>
    <s v="Los Angeles"/>
    <x v="1"/>
    <s v="Binders"/>
    <s v="Product 29"/>
    <n v="3383.51"/>
    <n v="1"/>
    <n v="0.2"/>
    <n v="232.2"/>
    <x v="2"/>
    <s v="Critical"/>
  </r>
  <r>
    <s v="ORD0007"/>
    <d v="2014-09-06T00:00:00"/>
    <s v="6/14/2014"/>
    <s v="CUST1727"/>
    <s v="Customer 7"/>
    <x v="0"/>
    <x v="2"/>
    <s v="Texas"/>
    <s v="Houston"/>
    <x v="0"/>
    <s v="Tables"/>
    <s v="Product 9"/>
    <n v="540.88"/>
    <n v="2"/>
    <n v="0.24"/>
    <n v="54.89"/>
    <x v="3"/>
    <s v="High"/>
  </r>
  <r>
    <s v="ORD0008"/>
    <d v="2014-09-06T00:00:00"/>
    <s v="6/14/2014"/>
    <s v="CUST6857"/>
    <s v="Customer 8"/>
    <x v="2"/>
    <x v="1"/>
    <s v="Texas"/>
    <s v="Los Angeles"/>
    <x v="0"/>
    <s v="Storage"/>
    <s v="Product 41"/>
    <n v="774.16"/>
    <n v="9"/>
    <n v="0.3"/>
    <n v="194.42"/>
    <x v="1"/>
    <s v="Low"/>
  </r>
  <r>
    <s v="ORD0009"/>
    <d v="2014-09-06T00:00:00"/>
    <s v="6/14/2014"/>
    <s v="CUST8060"/>
    <s v="Customer 9"/>
    <x v="1"/>
    <x v="0"/>
    <s v="California"/>
    <s v="Miami"/>
    <x v="0"/>
    <s v="Binders"/>
    <s v="Product 40"/>
    <n v="1537.65"/>
    <n v="2"/>
    <n v="0.22"/>
    <n v="524.72"/>
    <x v="2"/>
    <s v="Critical"/>
  </r>
  <r>
    <s v="ORD0010"/>
    <d v="2014-09-06T00:00:00"/>
    <s v="6/14/2014"/>
    <s v="CUST2544"/>
    <s v="Customer 10"/>
    <x v="2"/>
    <x v="1"/>
    <s v="Florida"/>
    <s v="Chicago"/>
    <x v="1"/>
    <s v="Chairs"/>
    <s v="Product 16"/>
    <n v="1226.7"/>
    <n v="4"/>
    <n v="0.01"/>
    <n v="383.95"/>
    <x v="2"/>
    <s v="Critical"/>
  </r>
  <r>
    <s v="ORD0011"/>
    <d v="2014-09-06T00:00:00"/>
    <s v="6/14/2014"/>
    <s v="CUST6531"/>
    <s v="Customer 11"/>
    <x v="2"/>
    <x v="0"/>
    <s v="New York"/>
    <s v="Los Angeles"/>
    <x v="1"/>
    <s v="Phones"/>
    <s v="Product 1"/>
    <n v="1694.48"/>
    <n v="9"/>
    <n v="0.14"/>
    <n v="398.56"/>
    <x v="0"/>
    <s v="Critical"/>
  </r>
  <r>
    <s v="ORD0012"/>
    <d v="2014-09-06T00:00:00"/>
    <s v="6/14/2014"/>
    <s v="CUST2388"/>
    <s v="Customer 12"/>
    <x v="1"/>
    <x v="0"/>
    <s v="California"/>
    <s v="Los Angeles"/>
    <x v="0"/>
    <s v="Tables"/>
    <s v="Product 41"/>
    <n v="3812.16"/>
    <n v="1"/>
    <n v="0.24"/>
    <n v="266.46"/>
    <x v="4"/>
    <s v="Critical"/>
  </r>
  <r>
    <s v="ORD0013"/>
    <s v="4/15/2017"/>
    <s v="4/20/2017"/>
    <s v="CUST3069"/>
    <s v="Customer 13"/>
    <x v="0"/>
    <x v="2"/>
    <s v="Texas"/>
    <s v="Chicago"/>
    <x v="0"/>
    <s v="Tables"/>
    <s v="Product 47"/>
    <n v="2842.49"/>
    <n v="1"/>
    <n v="0.11"/>
    <n v="925.85"/>
    <x v="3"/>
    <s v="Medium"/>
  </r>
  <r>
    <s v="ORD0014"/>
    <d v="2016-05-12T00:00:00"/>
    <d v="2016-10-12T00:00:00"/>
    <s v="CUST7889"/>
    <s v="Customer 14"/>
    <x v="2"/>
    <x v="2"/>
    <s v="California"/>
    <s v="Houston"/>
    <x v="2"/>
    <s v="Chairs"/>
    <s v="Product 18"/>
    <n v="492.65"/>
    <n v="4"/>
    <n v="0.12"/>
    <n v="115.59"/>
    <x v="2"/>
    <s v="High"/>
  </r>
  <r>
    <s v="ORD0015"/>
    <s v="11/22/2015"/>
    <s v="11/26/2015"/>
    <s v="CUST3482"/>
    <s v="Customer 15"/>
    <x v="0"/>
    <x v="0"/>
    <s v="Illinois"/>
    <s v="New York City"/>
    <x v="2"/>
    <s v="Phones"/>
    <s v="Product 31"/>
    <n v="3811.3"/>
    <n v="9"/>
    <n v="0.22"/>
    <n v="583.88"/>
    <x v="4"/>
    <s v="Critical"/>
  </r>
  <r>
    <s v="ORD0016"/>
    <s v="11/22/2015"/>
    <s v="11/26/2015"/>
    <s v="CUST5457"/>
    <s v="Customer 16"/>
    <x v="0"/>
    <x v="2"/>
    <s v="Florida"/>
    <s v="Los Angeles"/>
    <x v="1"/>
    <s v="Chairs"/>
    <s v="Product 28"/>
    <n v="527.84"/>
    <n v="7"/>
    <n v="0.08"/>
    <n v="90.63"/>
    <x v="3"/>
    <s v="Medium"/>
  </r>
  <r>
    <s v="ORD0017"/>
    <d v="2014-11-11T00:00:00"/>
    <s v="11/18/2014"/>
    <s v="CUST5255"/>
    <s v="Customer 17"/>
    <x v="1"/>
    <x v="2"/>
    <s v="California"/>
    <s v="Houston"/>
    <x v="2"/>
    <s v="Binders"/>
    <s v="Product 33"/>
    <n v="188.72"/>
    <n v="2"/>
    <n v="0.07000000000000001"/>
    <n v="47.45"/>
    <x v="0"/>
    <s v="Low"/>
  </r>
  <r>
    <s v="ORD0018"/>
    <s v="5/13/2014"/>
    <s v="5/15/2014"/>
    <s v="CUST5480"/>
    <s v="Customer 18"/>
    <x v="2"/>
    <x v="2"/>
    <s v="New York"/>
    <s v="Miami"/>
    <x v="2"/>
    <s v="Binders"/>
    <s v="Product 39"/>
    <n v="1493.51"/>
    <n v="6"/>
    <n v="0.07000000000000001"/>
    <n v="151.04"/>
    <x v="1"/>
    <s v="Low"/>
  </r>
  <r>
    <s v="ORD0019"/>
    <s v="8/27/2014"/>
    <d v="2014-01-09T00:00:00"/>
    <s v="CUST9417"/>
    <s v="Customer 19"/>
    <x v="0"/>
    <x v="0"/>
    <s v="Illinois"/>
    <s v="Chicago"/>
    <x v="1"/>
    <s v="Chairs"/>
    <s v="Product 49"/>
    <n v="3740.31"/>
    <n v="7"/>
    <n v="0.07000000000000001"/>
    <n v="625.38"/>
    <x v="4"/>
    <s v="High"/>
  </r>
  <r>
    <s v="ORD0020"/>
    <s v="8/27/2014"/>
    <d v="2014-01-09T00:00:00"/>
    <s v="CUST4184"/>
    <s v="Customer 20"/>
    <x v="0"/>
    <x v="1"/>
    <s v="New York"/>
    <s v="New York City"/>
    <x v="2"/>
    <s v="Chairs"/>
    <s v="Product 48"/>
    <n v="2966.79"/>
    <n v="8"/>
    <n v="0.14"/>
    <n v="195.03"/>
    <x v="1"/>
    <s v="Critical"/>
  </r>
  <r>
    <s v="ORD0021"/>
    <s v="8/27/2014"/>
    <d v="2014-01-09T00:00:00"/>
    <s v="CUST4487"/>
    <s v="Customer 21"/>
    <x v="2"/>
    <x v="1"/>
    <s v="Texas"/>
    <s v="Houston"/>
    <x v="1"/>
    <s v="Chairs"/>
    <s v="Product 29"/>
    <n v="785.48"/>
    <n v="8"/>
    <n v="0.06"/>
    <n v="60.65"/>
    <x v="2"/>
    <s v="Low"/>
  </r>
  <r>
    <s v="ORD0022"/>
    <d v="2016-09-12T00:00:00"/>
    <s v="12/13/2016"/>
    <s v="CUST1432"/>
    <s v="Customer 22"/>
    <x v="1"/>
    <x v="1"/>
    <s v="New York"/>
    <s v="Los Angeles"/>
    <x v="1"/>
    <s v="Binders"/>
    <s v="Product 13"/>
    <n v="1494.89"/>
    <n v="6"/>
    <n v="0.07000000000000001"/>
    <n v="419.46"/>
    <x v="2"/>
    <s v="Critical"/>
  </r>
  <r>
    <s v="ORD0023"/>
    <d v="2016-09-12T00:00:00"/>
    <s v="12/13/2016"/>
    <s v="CUST5762"/>
    <s v="Customer 23"/>
    <x v="0"/>
    <x v="0"/>
    <s v="Florida"/>
    <s v="Miami"/>
    <x v="1"/>
    <s v="Chairs"/>
    <s v="Product 44"/>
    <n v="3601.79"/>
    <n v="1"/>
    <n v="0.04"/>
    <n v="575.08"/>
    <x v="1"/>
    <s v="High"/>
  </r>
  <r>
    <s v="ORD0024"/>
    <s v="7/16/2017"/>
    <s v="7/18/2017"/>
    <s v="CUST2013"/>
    <s v="Customer 24"/>
    <x v="1"/>
    <x v="1"/>
    <s v="Texas"/>
    <s v="Chicago"/>
    <x v="1"/>
    <s v="Storage"/>
    <s v="Product 4"/>
    <n v="1018.33"/>
    <n v="7"/>
    <n v="0.16"/>
    <n v="120.02"/>
    <x v="0"/>
    <s v="Medium"/>
  </r>
  <r>
    <s v="ORD0025"/>
    <s v="9/25/2015"/>
    <s v="9/30/2015"/>
    <s v="CUST2537"/>
    <s v="Customer 25"/>
    <x v="0"/>
    <x v="2"/>
    <s v="Florida"/>
    <s v="Miami"/>
    <x v="2"/>
    <s v="Tables"/>
    <s v="Product 2"/>
    <n v="675.86"/>
    <n v="9"/>
    <n v="0.16"/>
    <n v="126.48"/>
    <x v="3"/>
    <s v="Low"/>
  </r>
  <r>
    <s v="ORD0026"/>
    <s v="1/16/2016"/>
    <s v="1/20/2016"/>
    <s v="CUST7672"/>
    <s v="Customer 26"/>
    <x v="0"/>
    <x v="2"/>
    <s v="Florida"/>
    <s v="Houston"/>
    <x v="0"/>
    <s v="Phones"/>
    <s v="Product 38"/>
    <n v="4932.39"/>
    <n v="3"/>
    <n v="0.11"/>
    <n v="363.93"/>
    <x v="2"/>
    <s v="High"/>
  </r>
  <r>
    <s v="ORD0027"/>
    <s v="1/16/2016"/>
    <s v="1/20/2016"/>
    <s v="CUST7871"/>
    <s v="Customer 27"/>
    <x v="1"/>
    <x v="1"/>
    <s v="Texas"/>
    <s v="Miami"/>
    <x v="0"/>
    <s v="Binders"/>
    <s v="Product 30"/>
    <n v="3156.11"/>
    <n v="6"/>
    <n v="0.08"/>
    <n v="482.15"/>
    <x v="3"/>
    <s v="Low"/>
  </r>
  <r>
    <s v="ORD0028"/>
    <s v="9/17/2015"/>
    <s v="9/21/2015"/>
    <s v="CUST3209"/>
    <s v="Customer 28"/>
    <x v="1"/>
    <x v="0"/>
    <s v="California"/>
    <s v="Houston"/>
    <x v="1"/>
    <s v="Phones"/>
    <s v="Product 30"/>
    <n v="586.53"/>
    <n v="5"/>
    <n v="0.24"/>
    <n v="109.15"/>
    <x v="1"/>
    <s v="Medium"/>
  </r>
  <r>
    <s v="ORD0029"/>
    <s v="9/17/2015"/>
    <s v="9/21/2015"/>
    <s v="CUST9516"/>
    <s v="Customer 29"/>
    <x v="2"/>
    <x v="0"/>
    <s v="California"/>
    <s v="Houston"/>
    <x v="1"/>
    <s v="Chairs"/>
    <s v="Product 41"/>
    <n v="1825.88"/>
    <n v="10"/>
    <n v="0.18"/>
    <n v="513.4299999999999"/>
    <x v="0"/>
    <s v="Critical"/>
  </r>
  <r>
    <s v="ORD0030"/>
    <s v="9/17/2015"/>
    <s v="9/21/2015"/>
    <s v="CUST6101"/>
    <s v="Customer 30"/>
    <x v="0"/>
    <x v="1"/>
    <s v="Texas"/>
    <s v="Miami"/>
    <x v="1"/>
    <s v="Phones"/>
    <s v="Product 24"/>
    <n v="4587.03"/>
    <n v="4"/>
    <n v="0.17"/>
    <n v="1198.45"/>
    <x v="1"/>
    <s v="Low"/>
  </r>
  <r>
    <s v="ORD0031"/>
    <s v="9/17/2015"/>
    <s v="9/21/2015"/>
    <s v="CUST7538"/>
    <s v="Customer 31"/>
    <x v="1"/>
    <x v="2"/>
    <s v="Texas"/>
    <s v="New York City"/>
    <x v="1"/>
    <s v="Storage"/>
    <s v="Product 17"/>
    <n v="4582.04"/>
    <n v="1"/>
    <n v="0.07000000000000001"/>
    <n v="701.3200000000001"/>
    <x v="2"/>
    <s v="Medium"/>
  </r>
  <r>
    <s v="ORD0032"/>
    <s v="9/17/2015"/>
    <s v="9/21/2015"/>
    <s v="CUST6262"/>
    <s v="Customer 32"/>
    <x v="1"/>
    <x v="1"/>
    <s v="Texas"/>
    <s v="Chicago"/>
    <x v="2"/>
    <s v="Phones"/>
    <s v="Product 41"/>
    <n v="3931.32"/>
    <n v="5"/>
    <n v="0.01"/>
    <n v="976.97"/>
    <x v="3"/>
    <s v="Medium"/>
  </r>
  <r>
    <s v="ORD0033"/>
    <s v="9/17/2015"/>
    <s v="9/21/2015"/>
    <s v="CUST2377"/>
    <s v="Customer 33"/>
    <x v="1"/>
    <x v="1"/>
    <s v="Texas"/>
    <s v="Los Angeles"/>
    <x v="0"/>
    <s v="Binders"/>
    <s v="Product 42"/>
    <n v="1172.6"/>
    <n v="9"/>
    <n v="0.21"/>
    <n v="165.23"/>
    <x v="1"/>
    <s v="High"/>
  </r>
  <r>
    <s v="ORD0034"/>
    <s v="9/17/2015"/>
    <s v="9/21/2015"/>
    <s v="CUST5504"/>
    <s v="Customer 34"/>
    <x v="1"/>
    <x v="0"/>
    <s v="New York"/>
    <s v="New York City"/>
    <x v="0"/>
    <s v="Tables"/>
    <s v="Product 3"/>
    <n v="949.13"/>
    <n v="2"/>
    <n v="0.26"/>
    <n v="115.77"/>
    <x v="1"/>
    <s v="Low"/>
  </r>
  <r>
    <s v="ORD0035"/>
    <s v="10/19/2017"/>
    <s v="10/23/2017"/>
    <s v="CUST1603"/>
    <s v="Customer 35"/>
    <x v="0"/>
    <x v="0"/>
    <s v="Texas"/>
    <s v="New York City"/>
    <x v="1"/>
    <s v="Phones"/>
    <s v="Product 43"/>
    <n v="1185.82"/>
    <n v="4"/>
    <n v="0.29"/>
    <n v="241.48"/>
    <x v="1"/>
    <s v="Critical"/>
  </r>
  <r>
    <s v="ORD0036"/>
    <d v="2016-08-12T00:00:00"/>
    <d v="2016-10-12T00:00:00"/>
    <s v="CUST9072"/>
    <s v="Customer 36"/>
    <x v="2"/>
    <x v="0"/>
    <s v="Florida"/>
    <s v="New York City"/>
    <x v="1"/>
    <s v="Phones"/>
    <s v="Product 7"/>
    <n v="3980.49"/>
    <n v="3"/>
    <n v="0.21"/>
    <n v="946.4400000000001"/>
    <x v="4"/>
    <s v="Critical"/>
  </r>
  <r>
    <s v="ORD0037"/>
    <d v="2016-08-12T00:00:00"/>
    <d v="2016-10-12T00:00:00"/>
    <s v="CUST5197"/>
    <s v="Customer 37"/>
    <x v="1"/>
    <x v="0"/>
    <s v="California"/>
    <s v="Houston"/>
    <x v="2"/>
    <s v="Tables"/>
    <s v="Product 25"/>
    <n v="2792.81"/>
    <n v="6"/>
    <n v="0.12"/>
    <n v="354.87"/>
    <x v="2"/>
    <s v="Medium"/>
  </r>
  <r>
    <s v="ORD0038"/>
    <s v="12/27/2015"/>
    <s v="12/31/2015"/>
    <s v="CUST6808"/>
    <s v="Customer 38"/>
    <x v="0"/>
    <x v="0"/>
    <s v="Florida"/>
    <s v="Chicago"/>
    <x v="2"/>
    <s v="Chairs"/>
    <s v="Product 15"/>
    <n v="1977.67"/>
    <n v="4"/>
    <n v="0.05"/>
    <n v="246.52"/>
    <x v="0"/>
    <s v="Medium"/>
  </r>
  <r>
    <s v="ORD0039"/>
    <s v="12/27/2015"/>
    <s v="12/31/2015"/>
    <s v="CUST8283"/>
    <s v="Customer 39"/>
    <x v="1"/>
    <x v="3"/>
    <s v="California"/>
    <s v="Miami"/>
    <x v="0"/>
    <s v="Storage"/>
    <s v="Product 25"/>
    <n v="97.55"/>
    <n v="10"/>
    <n v="0.24"/>
    <n v="8.1"/>
    <x v="2"/>
    <s v="Medium"/>
  </r>
  <r>
    <s v="ORD0040"/>
    <s v="12/27/2015"/>
    <s v="12/31/2015"/>
    <s v="CUST9796"/>
    <s v="Customer 40"/>
    <x v="2"/>
    <x v="2"/>
    <s v="Florida"/>
    <s v="Houston"/>
    <x v="0"/>
    <s v="Phones"/>
    <s v="Product 19"/>
    <n v="4420.72"/>
    <n v="1"/>
    <n v="0.12"/>
    <n v="508.5"/>
    <x v="2"/>
    <s v="High"/>
  </r>
  <r>
    <s v="ORD0041"/>
    <s v="12/27/2015"/>
    <s v="12/31/2015"/>
    <s v="CUST5838"/>
    <s v="Customer 41"/>
    <x v="2"/>
    <x v="1"/>
    <s v="Florida"/>
    <s v="Chicago"/>
    <x v="1"/>
    <s v="Phones"/>
    <s v="Product 32"/>
    <n v="3180.11"/>
    <n v="2"/>
    <n v="0.21"/>
    <n v="747.99"/>
    <x v="3"/>
    <s v="Critical"/>
  </r>
  <r>
    <s v="ORD0042"/>
    <d v="2017-10-09T00:00:00"/>
    <s v="9/15/2017"/>
    <s v="CUST4596"/>
    <s v="Customer 42"/>
    <x v="2"/>
    <x v="0"/>
    <s v="Florida"/>
    <s v="Chicago"/>
    <x v="0"/>
    <s v="Phones"/>
    <s v="Product 9"/>
    <n v="3064.85"/>
    <n v="4"/>
    <n v="0.26"/>
    <n v="277.75"/>
    <x v="4"/>
    <s v="Medium"/>
  </r>
  <r>
    <s v="ORD0043"/>
    <s v="7/17/2016"/>
    <s v="7/22/2016"/>
    <s v="CUST5113"/>
    <s v="Customer 43"/>
    <x v="2"/>
    <x v="1"/>
    <s v="Illinois"/>
    <s v="Houston"/>
    <x v="2"/>
    <s v="Phones"/>
    <s v="Product 10"/>
    <n v="3137.97"/>
    <n v="8"/>
    <n v="0.22"/>
    <n v="512.88"/>
    <x v="0"/>
    <s v="High"/>
  </r>
  <r>
    <s v="ORD0044"/>
    <s v="9/19/2017"/>
    <s v="9/23/2017"/>
    <s v="CUST4653"/>
    <s v="Customer 44"/>
    <x v="2"/>
    <x v="3"/>
    <s v="New York"/>
    <s v="Chicago"/>
    <x v="2"/>
    <s v="Phones"/>
    <s v="Product 9"/>
    <n v="1197.65"/>
    <n v="5"/>
    <n v="0.04"/>
    <n v="371.59"/>
    <x v="3"/>
    <s v="Medium"/>
  </r>
  <r>
    <s v="ORD0045"/>
    <d v="2016-11-03T00:00:00"/>
    <s v="3/13/2016"/>
    <s v="CUST1195"/>
    <s v="Customer 45"/>
    <x v="2"/>
    <x v="1"/>
    <s v="Florida"/>
    <s v="New York City"/>
    <x v="2"/>
    <s v="Phones"/>
    <s v="Product 31"/>
    <n v="1057.95"/>
    <n v="4"/>
    <n v="0.18"/>
    <n v="358.4"/>
    <x v="0"/>
    <s v="High"/>
  </r>
  <r>
    <s v="ORD0046"/>
    <d v="2016-11-03T00:00:00"/>
    <s v="3/13/2016"/>
    <s v="CUST6682"/>
    <s v="Customer 46"/>
    <x v="2"/>
    <x v="2"/>
    <s v="Illinois"/>
    <s v="Houston"/>
    <x v="0"/>
    <s v="Chairs"/>
    <s v="Product 24"/>
    <n v="802.9299999999999"/>
    <n v="5"/>
    <n v="0.02"/>
    <n v="88"/>
    <x v="3"/>
    <s v="Critical"/>
  </r>
  <r>
    <s v="ORD0047"/>
    <s v="10/20/2014"/>
    <s v="10/25/2014"/>
    <s v="CUST9557"/>
    <s v="Customer 47"/>
    <x v="1"/>
    <x v="3"/>
    <s v="New York"/>
    <s v="New York City"/>
    <x v="0"/>
    <s v="Chairs"/>
    <s v="Product 42"/>
    <n v="607.1900000000001"/>
    <n v="2"/>
    <n v="0.02"/>
    <n v="178.32"/>
    <x v="2"/>
    <s v="Low"/>
  </r>
  <r>
    <s v="ORD0048"/>
    <s v="6/20/2016"/>
    <s v="6/25/2016"/>
    <s v="CUST5362"/>
    <s v="Customer 48"/>
    <x v="2"/>
    <x v="2"/>
    <s v="Florida"/>
    <s v="Houston"/>
    <x v="0"/>
    <s v="Storage"/>
    <s v="Product 20"/>
    <n v="1520.37"/>
    <n v="10"/>
    <n v="0.07000000000000001"/>
    <n v="204.29"/>
    <x v="2"/>
    <s v="Critical"/>
  </r>
  <r>
    <s v="ORD0049"/>
    <s v="6/20/2016"/>
    <s v="6/25/2016"/>
    <s v="CUST2294"/>
    <s v="Customer 49"/>
    <x v="1"/>
    <x v="2"/>
    <s v="New York"/>
    <s v="Chicago"/>
    <x v="2"/>
    <s v="Tables"/>
    <s v="Product 24"/>
    <n v="3711.87"/>
    <n v="5"/>
    <n v="0.03"/>
    <n v="881.67"/>
    <x v="0"/>
    <s v="Medium"/>
  </r>
  <r>
    <s v="ORD0050"/>
    <s v="4/18/2015"/>
    <s v="4/22/2015"/>
    <s v="CUST7946"/>
    <s v="Customer 50"/>
    <x v="0"/>
    <x v="1"/>
    <s v="Florida"/>
    <s v="Miami"/>
    <x v="0"/>
    <s v="Chairs"/>
    <s v="Product 42"/>
    <n v="1695.91"/>
    <n v="4"/>
    <n v="0.2"/>
    <n v="150.83"/>
    <x v="3"/>
    <s v="Medium"/>
  </r>
  <r>
    <s v="ORD0051"/>
    <s v="4/18/2015"/>
    <s v="4/22/2015"/>
    <s v="CUST9380"/>
    <s v="Customer 51"/>
    <x v="0"/>
    <x v="2"/>
    <s v="California"/>
    <s v="Houston"/>
    <x v="0"/>
    <s v="Storage"/>
    <s v="Product 18"/>
    <n v="96.45999999999999"/>
    <n v="9"/>
    <n v="0.02"/>
    <n v="23.27"/>
    <x v="2"/>
    <s v="Low"/>
  </r>
  <r>
    <s v="ORD0052"/>
    <s v="4/18/2015"/>
    <s v="4/22/2015"/>
    <s v="CUST9208"/>
    <s v="Customer 52"/>
    <x v="2"/>
    <x v="1"/>
    <s v="New York"/>
    <s v="New York City"/>
    <x v="2"/>
    <s v="Storage"/>
    <s v="Product 35"/>
    <n v="4520.2"/>
    <n v="9"/>
    <n v="0.24"/>
    <n v="876.73"/>
    <x v="4"/>
    <s v="Low"/>
  </r>
  <r>
    <s v="ORD0053"/>
    <s v="4/18/2015"/>
    <s v="4/22/2015"/>
    <s v="CUST7328"/>
    <s v="Customer 53"/>
    <x v="2"/>
    <x v="1"/>
    <s v="California"/>
    <s v="Chicago"/>
    <x v="1"/>
    <s v="Chairs"/>
    <s v="Product 12"/>
    <n v="1652.39"/>
    <n v="10"/>
    <n v="0.15"/>
    <n v="482.56"/>
    <x v="4"/>
    <s v="Medium"/>
  </r>
  <r>
    <s v="ORD0054"/>
    <d v="2016-11-12T00:00:00"/>
    <s v="12/17/2016"/>
    <s v="CUST2719"/>
    <s v="Customer 54"/>
    <x v="0"/>
    <x v="1"/>
    <s v="California"/>
    <s v="Houston"/>
    <x v="1"/>
    <s v="Binders"/>
    <s v="Product 39"/>
    <n v="2122.73"/>
    <n v="10"/>
    <n v="0.22"/>
    <n v="618.67"/>
    <x v="1"/>
    <s v="Low"/>
  </r>
  <r>
    <s v="ORD0055"/>
    <d v="2016-11-12T00:00:00"/>
    <s v="12/17/2016"/>
    <s v="CUST5286"/>
    <s v="Customer 55"/>
    <x v="2"/>
    <x v="1"/>
    <s v="Florida"/>
    <s v="Chicago"/>
    <x v="2"/>
    <s v="Storage"/>
    <s v="Product 40"/>
    <n v="3624.16"/>
    <n v="3"/>
    <n v="0.21"/>
    <n v="424.71"/>
    <x v="2"/>
    <s v="Low"/>
  </r>
  <r>
    <s v="ORD0056"/>
    <s v="6/17/2016"/>
    <s v="6/18/2016"/>
    <s v="CUST6015"/>
    <s v="Customer 56"/>
    <x v="0"/>
    <x v="2"/>
    <s v="Illinois"/>
    <s v="New York City"/>
    <x v="0"/>
    <s v="Tables"/>
    <s v="Product 40"/>
    <n v="810.74"/>
    <n v="7"/>
    <n v="0.27"/>
    <n v="107.42"/>
    <x v="2"/>
    <s v="Medium"/>
  </r>
  <r>
    <s v="ORD0057"/>
    <s v="6/17/2016"/>
    <s v="6/18/2016"/>
    <s v="CUST9289"/>
    <s v="Customer 57"/>
    <x v="0"/>
    <x v="0"/>
    <s v="Florida"/>
    <s v="New York City"/>
    <x v="0"/>
    <s v="Chairs"/>
    <s v="Product 25"/>
    <n v="1894.58"/>
    <n v="5"/>
    <n v="0.03"/>
    <n v="408.53"/>
    <x v="3"/>
    <s v="Low"/>
  </r>
  <r>
    <s v="ORD0058"/>
    <s v="6/17/2016"/>
    <s v="6/18/2016"/>
    <s v="CUST2069"/>
    <s v="Customer 58"/>
    <x v="1"/>
    <x v="1"/>
    <s v="New York"/>
    <s v="Los Angeles"/>
    <x v="0"/>
    <s v="Binders"/>
    <s v="Product 13"/>
    <n v="2385.16"/>
    <n v="5"/>
    <n v="0.12"/>
    <n v="235.61"/>
    <x v="1"/>
    <s v="Critical"/>
  </r>
  <r>
    <s v="ORD0059"/>
    <s v="6/17/2016"/>
    <s v="6/18/2016"/>
    <s v="CUST3480"/>
    <s v="Customer 59"/>
    <x v="1"/>
    <x v="0"/>
    <s v="Florida"/>
    <s v="New York City"/>
    <x v="0"/>
    <s v="Storage"/>
    <s v="Product 34"/>
    <n v="2749.14"/>
    <n v="1"/>
    <n v="0.14"/>
    <n v="355.22"/>
    <x v="2"/>
    <s v="High"/>
  </r>
  <r>
    <s v="ORD0060"/>
    <s v="6/17/2016"/>
    <s v="6/18/2016"/>
    <s v="CUST6025"/>
    <s v="Customer 60"/>
    <x v="1"/>
    <x v="3"/>
    <s v="New York"/>
    <s v="Miami"/>
    <x v="2"/>
    <s v="Chairs"/>
    <s v="Product 28"/>
    <n v="532.27"/>
    <n v="8"/>
    <n v="0.1"/>
    <n v="142"/>
    <x v="3"/>
    <s v="Medium"/>
  </r>
  <r>
    <s v="ORD0061"/>
    <s v="6/17/2016"/>
    <s v="6/18/2016"/>
    <s v="CUST5993"/>
    <s v="Customer 61"/>
    <x v="2"/>
    <x v="1"/>
    <s v="Illinois"/>
    <s v="Houston"/>
    <x v="0"/>
    <s v="Storage"/>
    <s v="Product 27"/>
    <n v="2331.98"/>
    <n v="2"/>
    <n v="0.28"/>
    <n v="122.15"/>
    <x v="2"/>
    <s v="Critical"/>
  </r>
  <r>
    <s v="ORD0062"/>
    <s v="6/17/2016"/>
    <s v="6/18/2016"/>
    <s v="CUST5195"/>
    <s v="Customer 62"/>
    <x v="1"/>
    <x v="0"/>
    <s v="New York"/>
    <s v="Chicago"/>
    <x v="1"/>
    <s v="Phones"/>
    <s v="Product 16"/>
    <n v="3596.35"/>
    <n v="3"/>
    <n v="0.05"/>
    <n v="1169.87"/>
    <x v="1"/>
    <s v="High"/>
  </r>
  <r>
    <s v="ORD0063"/>
    <s v="11/24/2015"/>
    <s v="11/30/2015"/>
    <s v="CUST6882"/>
    <s v="Customer 63"/>
    <x v="2"/>
    <x v="0"/>
    <s v="Texas"/>
    <s v="Chicago"/>
    <x v="1"/>
    <s v="Chairs"/>
    <s v="Product 41"/>
    <n v="2720.31"/>
    <n v="10"/>
    <n v="0.28"/>
    <n v="407.58"/>
    <x v="1"/>
    <s v="Low"/>
  </r>
  <r>
    <s v="ORD0064"/>
    <s v="11/24/2015"/>
    <s v="11/30/2015"/>
    <s v="CUST2762"/>
    <s v="Customer 64"/>
    <x v="1"/>
    <x v="3"/>
    <s v="California"/>
    <s v="Chicago"/>
    <x v="0"/>
    <s v="Storage"/>
    <s v="Product 37"/>
    <n v="3507.21"/>
    <n v="8"/>
    <n v="0.18"/>
    <n v="700.39"/>
    <x v="0"/>
    <s v="Medium"/>
  </r>
  <r>
    <s v="ORD0065"/>
    <s v="11/24/2015"/>
    <s v="11/30/2015"/>
    <s v="CUST8707"/>
    <s v="Customer 65"/>
    <x v="1"/>
    <x v="0"/>
    <s v="New York"/>
    <s v="Chicago"/>
    <x v="2"/>
    <s v="Tables"/>
    <s v="Product 5"/>
    <n v="3624.61"/>
    <n v="10"/>
    <n v="0.1"/>
    <n v="986.08"/>
    <x v="4"/>
    <s v="Critical"/>
  </r>
  <r>
    <s v="ORD0066"/>
    <s v="11/24/2015"/>
    <s v="11/30/2015"/>
    <s v="CUST6718"/>
    <s v="Customer 66"/>
    <x v="1"/>
    <x v="3"/>
    <s v="California"/>
    <s v="New York City"/>
    <x v="2"/>
    <s v="Binders"/>
    <s v="Product 31"/>
    <n v="1020.32"/>
    <n v="9"/>
    <n v="0.13"/>
    <n v="87.36"/>
    <x v="4"/>
    <s v="Medium"/>
  </r>
  <r>
    <s v="ORD0067"/>
    <s v="4/30/2015"/>
    <d v="2015-05-05T00:00:00"/>
    <s v="CUST3424"/>
    <s v="Customer 67"/>
    <x v="1"/>
    <x v="2"/>
    <s v="California"/>
    <s v="New York City"/>
    <x v="2"/>
    <s v="Tables"/>
    <s v="Product 12"/>
    <n v="3427.9"/>
    <n v="10"/>
    <n v="0.1"/>
    <n v="216.15"/>
    <x v="1"/>
    <s v="Low"/>
  </r>
  <r>
    <s v="ORD0068"/>
    <d v="2014-05-12T00:00:00"/>
    <d v="2014-10-12T00:00:00"/>
    <s v="CUST7846"/>
    <s v="Customer 68"/>
    <x v="1"/>
    <x v="2"/>
    <s v="Texas"/>
    <s v="Houston"/>
    <x v="1"/>
    <s v="Chairs"/>
    <s v="Product 35"/>
    <n v="2861.94"/>
    <n v="10"/>
    <n v="0.11"/>
    <n v="832.55"/>
    <x v="3"/>
    <s v="Critical"/>
  </r>
  <r>
    <s v="ORD0069"/>
    <d v="2014-05-12T00:00:00"/>
    <d v="2014-10-12T00:00:00"/>
    <s v="CUST6997"/>
    <s v="Customer 69"/>
    <x v="1"/>
    <x v="2"/>
    <s v="Florida"/>
    <s v="Miami"/>
    <x v="2"/>
    <s v="Chairs"/>
    <s v="Product 28"/>
    <n v="895.71"/>
    <n v="9"/>
    <n v="0.24"/>
    <n v="133.59"/>
    <x v="3"/>
    <s v="Critical"/>
  </r>
  <r>
    <s v="ORD0070"/>
    <d v="2016-04-06T00:00:00"/>
    <d v="2016-06-06T00:00:00"/>
    <s v="CUST6218"/>
    <s v="Customer 70"/>
    <x v="1"/>
    <x v="3"/>
    <s v="Illinois"/>
    <s v="Chicago"/>
    <x v="1"/>
    <s v="Binders"/>
    <s v="Product 21"/>
    <n v="4828.21"/>
    <n v="7"/>
    <n v="0.16"/>
    <n v="835.22"/>
    <x v="3"/>
    <s v="High"/>
  </r>
  <r>
    <s v="ORD0071"/>
    <s v="9/18/2016"/>
    <s v="9/23/2016"/>
    <s v="CUST7170"/>
    <s v="Customer 71"/>
    <x v="1"/>
    <x v="2"/>
    <s v="Texas"/>
    <s v="Los Angeles"/>
    <x v="2"/>
    <s v="Phones"/>
    <s v="Product 27"/>
    <n v="4214.49"/>
    <n v="5"/>
    <n v="0.02"/>
    <n v="444.03"/>
    <x v="0"/>
    <s v="Low"/>
  </r>
  <r>
    <s v="ORD0072"/>
    <s v="9/14/2017"/>
    <s v="9/17/2017"/>
    <s v="CUST9997"/>
    <s v="Customer 72"/>
    <x v="2"/>
    <x v="2"/>
    <s v="New York"/>
    <s v="Los Angeles"/>
    <x v="2"/>
    <s v="Phones"/>
    <s v="Product 43"/>
    <n v="1247.26"/>
    <n v="1"/>
    <n v="0"/>
    <n v="112.48"/>
    <x v="4"/>
    <s v="Medium"/>
  </r>
  <r>
    <s v="ORD0073"/>
    <s v="4/26/2015"/>
    <d v="2015-02-05T00:00:00"/>
    <s v="CUST3363"/>
    <s v="Customer 73"/>
    <x v="1"/>
    <x v="2"/>
    <s v="Florida"/>
    <s v="Miami"/>
    <x v="1"/>
    <s v="Tables"/>
    <s v="Product 31"/>
    <n v="1072.54"/>
    <n v="3"/>
    <n v="0.1"/>
    <n v="159.71"/>
    <x v="3"/>
    <s v="Medium"/>
  </r>
  <r>
    <s v="ORD0074"/>
    <s v="4/26/2015"/>
    <d v="2015-02-05T00:00:00"/>
    <s v="CUST1540"/>
    <s v="Customer 74"/>
    <x v="2"/>
    <x v="2"/>
    <s v="New York"/>
    <s v="Chicago"/>
    <x v="0"/>
    <s v="Phones"/>
    <s v="Product 35"/>
    <n v="2499.04"/>
    <n v="8"/>
    <n v="0.07000000000000001"/>
    <n v="578.1799999999999"/>
    <x v="3"/>
    <s v="Critical"/>
  </r>
  <r>
    <s v="ORD0075"/>
    <s v="4/26/2015"/>
    <d v="2015-02-05T00:00:00"/>
    <s v="CUST2661"/>
    <s v="Customer 75"/>
    <x v="1"/>
    <x v="3"/>
    <s v="Texas"/>
    <s v="Houston"/>
    <x v="0"/>
    <s v="Tables"/>
    <s v="Product 39"/>
    <n v="4867.28"/>
    <n v="4"/>
    <n v="0.3"/>
    <n v="897.35"/>
    <x v="4"/>
    <s v="Critical"/>
  </r>
  <r>
    <s v="ORD0076"/>
    <d v="2017-09-12T00:00:00"/>
    <d v="2017-11-12T00:00:00"/>
    <s v="CUST8386"/>
    <s v="Customer 76"/>
    <x v="1"/>
    <x v="1"/>
    <s v="Illinois"/>
    <s v="New York City"/>
    <x v="1"/>
    <s v="Chairs"/>
    <s v="Product 15"/>
    <n v="2755.11"/>
    <n v="6"/>
    <n v="0.15"/>
    <n v="868.72"/>
    <x v="0"/>
    <s v="Medium"/>
  </r>
  <r>
    <s v="ORD0077"/>
    <d v="2017-09-12T00:00:00"/>
    <d v="2017-11-12T00:00:00"/>
    <s v="CUST7894"/>
    <s v="Customer 77"/>
    <x v="0"/>
    <x v="0"/>
    <s v="New York"/>
    <s v="Chicago"/>
    <x v="1"/>
    <s v="Chairs"/>
    <s v="Product 39"/>
    <n v="3598.23"/>
    <n v="3"/>
    <n v="0.06"/>
    <n v="913.4"/>
    <x v="1"/>
    <s v="Critical"/>
  </r>
  <r>
    <s v="ORD0078"/>
    <d v="2017-09-12T00:00:00"/>
    <d v="2017-11-12T00:00:00"/>
    <s v="CUST9951"/>
    <s v="Customer 78"/>
    <x v="1"/>
    <x v="2"/>
    <s v="Illinois"/>
    <s v="Houston"/>
    <x v="1"/>
    <s v="Phones"/>
    <s v="Product 48"/>
    <n v="1092.54"/>
    <n v="6"/>
    <n v="0.24"/>
    <n v="172.65"/>
    <x v="2"/>
    <s v="High"/>
  </r>
  <r>
    <s v="ORD0079"/>
    <s v="11/26/2014"/>
    <d v="2014-01-12T00:00:00"/>
    <s v="CUST5637"/>
    <s v="Customer 79"/>
    <x v="0"/>
    <x v="3"/>
    <s v="Florida"/>
    <s v="Miami"/>
    <x v="1"/>
    <s v="Storage"/>
    <s v="Product 11"/>
    <n v="1147.02"/>
    <n v="5"/>
    <n v="0.08"/>
    <n v="198.17"/>
    <x v="0"/>
    <s v="High"/>
  </r>
  <r>
    <s v="ORD0080"/>
    <d v="2016-12-06T00:00:00"/>
    <s v="6/15/2016"/>
    <s v="CUST4065"/>
    <s v="Customer 80"/>
    <x v="1"/>
    <x v="3"/>
    <s v="Florida"/>
    <s v="Chicago"/>
    <x v="0"/>
    <s v="Tables"/>
    <s v="Product 40"/>
    <n v="123.4"/>
    <n v="10"/>
    <n v="0.21"/>
    <n v="14.16"/>
    <x v="1"/>
    <s v="Critical"/>
  </r>
  <r>
    <s v="ORD0081"/>
    <d v="2016-12-06T00:00:00"/>
    <s v="6/15/2016"/>
    <s v="CUST5326"/>
    <s v="Customer 81"/>
    <x v="2"/>
    <x v="1"/>
    <s v="California"/>
    <s v="Houston"/>
    <x v="2"/>
    <s v="Binders"/>
    <s v="Product 32"/>
    <n v="2099.71"/>
    <n v="4"/>
    <n v="0.02"/>
    <n v="236.14"/>
    <x v="1"/>
    <s v="High"/>
  </r>
  <r>
    <s v="ORD0082"/>
    <d v="2014-12-10T00:00:00"/>
    <s v="10/16/2014"/>
    <s v="CUST7970"/>
    <s v="Customer 82"/>
    <x v="0"/>
    <x v="1"/>
    <s v="Illinois"/>
    <s v="Miami"/>
    <x v="1"/>
    <s v="Binders"/>
    <s v="Product 8"/>
    <n v="2917.1"/>
    <n v="7"/>
    <n v="0.17"/>
    <n v="281.5"/>
    <x v="1"/>
    <s v="Low"/>
  </r>
  <r>
    <s v="ORD0083"/>
    <d v="2014-12-10T00:00:00"/>
    <s v="10/16/2014"/>
    <s v="CUST9958"/>
    <s v="Customer 83"/>
    <x v="2"/>
    <x v="3"/>
    <s v="Illinois"/>
    <s v="Chicago"/>
    <x v="1"/>
    <s v="Storage"/>
    <s v="Product 33"/>
    <n v="2485.47"/>
    <n v="8"/>
    <n v="0.1"/>
    <n v="469.6"/>
    <x v="1"/>
    <s v="Low"/>
  </r>
  <r>
    <s v="ORD0084"/>
    <d v="2015-03-09T00:00:00"/>
    <d v="2015-08-09T00:00:00"/>
    <s v="CUST7806"/>
    <s v="Customer 84"/>
    <x v="0"/>
    <x v="1"/>
    <s v="California"/>
    <s v="Houston"/>
    <x v="2"/>
    <s v="Phones"/>
    <s v="Product 16"/>
    <n v="864.84"/>
    <n v="1"/>
    <n v="0.25"/>
    <n v="83.12"/>
    <x v="3"/>
    <s v="Critical"/>
  </r>
  <r>
    <s v="ORD0085"/>
    <s v="11/13/2017"/>
    <s v="11/16/2017"/>
    <s v="CUST7298"/>
    <s v="Customer 85"/>
    <x v="1"/>
    <x v="2"/>
    <s v="Florida"/>
    <s v="Los Angeles"/>
    <x v="2"/>
    <s v="Phones"/>
    <s v="Product 29"/>
    <n v="4149.61"/>
    <n v="4"/>
    <n v="0.08"/>
    <n v="875.16"/>
    <x v="0"/>
    <s v="Medium"/>
  </r>
  <r>
    <s v="ORD0086"/>
    <s v="5/28/2017"/>
    <s v="5/30/2017"/>
    <s v="CUST7635"/>
    <s v="Customer 86"/>
    <x v="2"/>
    <x v="2"/>
    <s v="New York"/>
    <s v="Miami"/>
    <x v="2"/>
    <s v="Binders"/>
    <s v="Product 26"/>
    <n v="1831.24"/>
    <n v="3"/>
    <n v="0.28"/>
    <n v="120.76"/>
    <x v="2"/>
    <s v="High"/>
  </r>
  <r>
    <s v="ORD0087"/>
    <s v="10/26/2017"/>
    <d v="2017-02-11T00:00:00"/>
    <s v="CUST7580"/>
    <s v="Customer 87"/>
    <x v="2"/>
    <x v="3"/>
    <s v="New York"/>
    <s v="Chicago"/>
    <x v="0"/>
    <s v="Chairs"/>
    <s v="Product 26"/>
    <n v="4702.96"/>
    <n v="2"/>
    <n v="0.01"/>
    <n v="714.59"/>
    <x v="1"/>
    <s v="Low"/>
  </r>
  <r>
    <s v="ORD0088"/>
    <s v="10/26/2017"/>
    <d v="2017-02-11T00:00:00"/>
    <s v="CUST2411"/>
    <s v="Customer 88"/>
    <x v="1"/>
    <x v="0"/>
    <s v="California"/>
    <s v="Los Angeles"/>
    <x v="2"/>
    <s v="Phones"/>
    <s v="Product 37"/>
    <n v="895.84"/>
    <n v="6"/>
    <n v="0.12"/>
    <n v="157.34"/>
    <x v="2"/>
    <s v="High"/>
  </r>
  <r>
    <s v="ORD0089"/>
    <d v="2016-05-04T00:00:00"/>
    <d v="2016-10-04T00:00:00"/>
    <s v="CUST8873"/>
    <s v="Customer 89"/>
    <x v="0"/>
    <x v="1"/>
    <s v="New York"/>
    <s v="Miami"/>
    <x v="2"/>
    <s v="Chairs"/>
    <s v="Product 48"/>
    <n v="1918.93"/>
    <n v="9"/>
    <n v="0.11"/>
    <n v="338.3"/>
    <x v="3"/>
    <s v="Low"/>
  </r>
  <r>
    <s v="ORD0090"/>
    <s v="9/17/2016"/>
    <s v="9/22/2016"/>
    <s v="CUST9301"/>
    <s v="Customer 90"/>
    <x v="0"/>
    <x v="1"/>
    <s v="Florida"/>
    <s v="Houston"/>
    <x v="0"/>
    <s v="Storage"/>
    <s v="Product 50"/>
    <n v="1953.71"/>
    <n v="1"/>
    <n v="0.26"/>
    <n v="680.05"/>
    <x v="0"/>
    <s v="Critical"/>
  </r>
  <r>
    <s v="ORD0091"/>
    <s v="9/17/2016"/>
    <s v="9/22/2016"/>
    <s v="CUST6850"/>
    <s v="Customer 91"/>
    <x v="1"/>
    <x v="3"/>
    <s v="Illinois"/>
    <s v="Houston"/>
    <x v="2"/>
    <s v="Phones"/>
    <s v="Product 19"/>
    <n v="3863.59"/>
    <n v="4"/>
    <n v="0.16"/>
    <n v="1157.47"/>
    <x v="4"/>
    <s v="Medium"/>
  </r>
  <r>
    <s v="ORD0092"/>
    <s v="9/17/2016"/>
    <s v="9/22/2016"/>
    <s v="CUST9796"/>
    <s v="Customer 92"/>
    <x v="0"/>
    <x v="3"/>
    <s v="Illinois"/>
    <s v="Miami"/>
    <x v="0"/>
    <s v="Storage"/>
    <s v="Product 34"/>
    <n v="2754.41"/>
    <n v="8"/>
    <n v="0.2"/>
    <n v="777.04"/>
    <x v="4"/>
    <s v="Low"/>
  </r>
  <r>
    <s v="ORD0093"/>
    <s v="1/31/2015"/>
    <d v="2015-05-02T00:00:00"/>
    <s v="CUST9072"/>
    <s v="Customer 93"/>
    <x v="0"/>
    <x v="0"/>
    <s v="New York"/>
    <s v="Houston"/>
    <x v="0"/>
    <s v="Tables"/>
    <s v="Product 27"/>
    <n v="1458.96"/>
    <n v="8"/>
    <n v="0.13"/>
    <n v="277.88"/>
    <x v="0"/>
    <s v="Critical"/>
  </r>
  <r>
    <s v="ORD0094"/>
    <s v="1/31/2015"/>
    <d v="2015-05-02T00:00:00"/>
    <s v="CUST9920"/>
    <s v="Customer 94"/>
    <x v="1"/>
    <x v="2"/>
    <s v="New York"/>
    <s v="Chicago"/>
    <x v="0"/>
    <s v="Phones"/>
    <s v="Product 18"/>
    <n v="3899.94"/>
    <n v="4"/>
    <n v="0.17"/>
    <n v="492.53"/>
    <x v="1"/>
    <s v="Low"/>
  </r>
  <r>
    <s v="ORD0095"/>
    <s v="1/31/2015"/>
    <d v="2015-05-02T00:00:00"/>
    <s v="CUST4573"/>
    <s v="Customer 95"/>
    <x v="0"/>
    <x v="3"/>
    <s v="Illinois"/>
    <s v="Chicago"/>
    <x v="0"/>
    <s v="Storage"/>
    <s v="Product 17"/>
    <n v="1863.66"/>
    <n v="9"/>
    <n v="0.27"/>
    <n v="431.31"/>
    <x v="2"/>
    <s v="Low"/>
  </r>
  <r>
    <s v="ORD0096"/>
    <d v="2017-06-11T00:00:00"/>
    <d v="2017-12-11T00:00:00"/>
    <s v="CUST9300"/>
    <s v="Customer 96"/>
    <x v="0"/>
    <x v="3"/>
    <s v="Texas"/>
    <s v="Chicago"/>
    <x v="2"/>
    <s v="Binders"/>
    <s v="Product 6"/>
    <n v="1067.43"/>
    <n v="8"/>
    <n v="0.11"/>
    <n v="139.09"/>
    <x v="1"/>
    <s v="High"/>
  </r>
  <r>
    <s v="ORD0097"/>
    <d v="2017-09-11T00:00:00"/>
    <d v="2017-11-11T00:00:00"/>
    <s v="CUST6455"/>
    <s v="Customer 97"/>
    <x v="2"/>
    <x v="1"/>
    <s v="Florida"/>
    <s v="Los Angeles"/>
    <x v="2"/>
    <s v="Storage"/>
    <s v="Product 4"/>
    <n v="3038.54"/>
    <n v="10"/>
    <n v="0.14"/>
    <n v="935.16"/>
    <x v="2"/>
    <s v="High"/>
  </r>
  <r>
    <s v="ORD0098"/>
    <s v="6/17/2017"/>
    <s v="6/20/2017"/>
    <s v="CUST6224"/>
    <s v="Customer 98"/>
    <x v="1"/>
    <x v="3"/>
    <s v="Florida"/>
    <s v="Los Angeles"/>
    <x v="2"/>
    <s v="Tables"/>
    <s v="Product 4"/>
    <n v="4402.57"/>
    <n v="2"/>
    <n v="0.14"/>
    <n v="1388.61"/>
    <x v="4"/>
    <s v="High"/>
  </r>
  <r>
    <s v="ORD0099"/>
    <d v="2016-06-09T00:00:00"/>
    <d v="2016-11-09T00:00:00"/>
    <s v="CUST2668"/>
    <s v="Customer 99"/>
    <x v="1"/>
    <x v="2"/>
    <s v="Illinois"/>
    <s v="Houston"/>
    <x v="0"/>
    <s v="Tables"/>
    <s v="Product 32"/>
    <n v="4931.09"/>
    <n v="3"/>
    <n v="0.2"/>
    <n v="1589.75"/>
    <x v="3"/>
    <s v="High"/>
  </r>
  <r>
    <s v="ORD0100"/>
    <s v="8/29/2016"/>
    <d v="2016-02-09T00:00:00"/>
    <s v="CUST9069"/>
    <s v="Customer 100"/>
    <x v="1"/>
    <x v="3"/>
    <s v="Illinois"/>
    <s v="Houston"/>
    <x v="1"/>
    <s v="Binders"/>
    <s v="Product 16"/>
    <n v="1028.25"/>
    <n v="6"/>
    <n v="0.28"/>
    <n v="211.85"/>
    <x v="2"/>
    <s v="High"/>
  </r>
</pivotCacheRecords>
</file>

<file path=xl/pivotCache/pivotCacheRecords3.xml><?xml version="1.0" encoding="utf-8"?>
<pivotCacheRecords xmlns="http://schemas.openxmlformats.org/spreadsheetml/2006/main" count="100">
  <r>
    <s v="ORD0001"/>
    <d v="2016-08-11T00:00:00"/>
    <d v="2016-11-11T00:00:00"/>
    <s v="CUST9340"/>
    <s v="Customer 1"/>
    <x v="0"/>
    <x v="0"/>
    <s v="California"/>
    <s v="New York City"/>
    <x v="0"/>
    <s v="Chairs"/>
    <s v="Product 3"/>
    <n v="1001.58"/>
    <n v="8"/>
    <n v="0.12"/>
    <n v="142.51"/>
    <x v="0"/>
    <s v="High"/>
  </r>
  <r>
    <s v="ORD0002"/>
    <d v="2016-08-11T00:00:00"/>
    <d v="2016-11-11T00:00:00"/>
    <s v="CUST9705"/>
    <s v="Customer 2"/>
    <x v="0"/>
    <x v="1"/>
    <s v="Texas"/>
    <s v="Los Angeles"/>
    <x v="1"/>
    <s v="Chairs"/>
    <s v="Product 26"/>
    <n v="4468.06"/>
    <n v="1"/>
    <n v="0.1"/>
    <n v="250.04"/>
    <x v="0"/>
    <s v="Medium"/>
  </r>
  <r>
    <s v="ORD0003"/>
    <d v="2016-12-06T00:00:00"/>
    <s v="6/16/2016"/>
    <s v="CUST4273"/>
    <s v="Customer 3"/>
    <x v="1"/>
    <x v="1"/>
    <s v="Florida"/>
    <s v="New York City"/>
    <x v="1"/>
    <s v="Storage"/>
    <s v="Product 31"/>
    <n v="2842.6"/>
    <n v="1"/>
    <n v="0.24"/>
    <n v="361.62"/>
    <x v="1"/>
    <s v="Critical"/>
  </r>
  <r>
    <s v="ORD0004"/>
    <d v="2015-11-10T00:00:00"/>
    <s v="10/18/2015"/>
    <s v="CUST5155"/>
    <s v="Customer 4"/>
    <x v="2"/>
    <x v="2"/>
    <s v="Florida"/>
    <s v="Chicago"/>
    <x v="0"/>
    <s v="Phones"/>
    <s v="Product 33"/>
    <n v="4667.41"/>
    <n v="5"/>
    <n v="0.03"/>
    <n v="529.16"/>
    <x v="2"/>
    <s v="Medium"/>
  </r>
  <r>
    <s v="ORD0005"/>
    <d v="2015-11-10T00:00:00"/>
    <s v="10/18/2015"/>
    <s v="CUST5111"/>
    <s v="Customer 5"/>
    <x v="0"/>
    <x v="3"/>
    <s v="Illinois"/>
    <s v="Miami"/>
    <x v="0"/>
    <s v="Binders"/>
    <s v="Product 38"/>
    <n v="3014.29"/>
    <n v="7"/>
    <n v="0.18"/>
    <n v="909.5"/>
    <x v="3"/>
    <s v="Medium"/>
  </r>
  <r>
    <s v="ORD0006"/>
    <d v="2014-09-06T00:00:00"/>
    <s v="6/14/2014"/>
    <s v="CUST1687"/>
    <s v="Customer 6"/>
    <x v="2"/>
    <x v="0"/>
    <s v="Texas"/>
    <s v="Los Angeles"/>
    <x v="1"/>
    <s v="Binders"/>
    <s v="Product 29"/>
    <n v="3383.51"/>
    <n v="1"/>
    <n v="0.2"/>
    <n v="232.2"/>
    <x v="2"/>
    <s v="Critical"/>
  </r>
  <r>
    <s v="ORD0007"/>
    <d v="2014-09-06T00:00:00"/>
    <s v="6/14/2014"/>
    <s v="CUST1727"/>
    <s v="Customer 7"/>
    <x v="0"/>
    <x v="2"/>
    <s v="Texas"/>
    <s v="Houston"/>
    <x v="0"/>
    <s v="Tables"/>
    <s v="Product 9"/>
    <n v="540.88"/>
    <n v="2"/>
    <n v="0.24"/>
    <n v="54.89"/>
    <x v="3"/>
    <s v="High"/>
  </r>
  <r>
    <s v="ORD0008"/>
    <d v="2014-09-06T00:00:00"/>
    <s v="6/14/2014"/>
    <s v="CUST6857"/>
    <s v="Customer 8"/>
    <x v="2"/>
    <x v="1"/>
    <s v="Texas"/>
    <s v="Los Angeles"/>
    <x v="0"/>
    <s v="Storage"/>
    <s v="Product 41"/>
    <n v="774.16"/>
    <n v="9"/>
    <n v="0.3"/>
    <n v="194.42"/>
    <x v="1"/>
    <s v="Low"/>
  </r>
  <r>
    <s v="ORD0009"/>
    <d v="2014-09-06T00:00:00"/>
    <s v="6/14/2014"/>
    <s v="CUST8060"/>
    <s v="Customer 9"/>
    <x v="1"/>
    <x v="0"/>
    <s v="California"/>
    <s v="Miami"/>
    <x v="0"/>
    <s v="Binders"/>
    <s v="Product 40"/>
    <n v="1537.65"/>
    <n v="2"/>
    <n v="0.22"/>
    <n v="524.72"/>
    <x v="2"/>
    <s v="Critical"/>
  </r>
  <r>
    <s v="ORD0010"/>
    <d v="2014-09-06T00:00:00"/>
    <s v="6/14/2014"/>
    <s v="CUST2544"/>
    <s v="Customer 10"/>
    <x v="2"/>
    <x v="1"/>
    <s v="Florida"/>
    <s v="Chicago"/>
    <x v="1"/>
    <s v="Chairs"/>
    <s v="Product 16"/>
    <n v="1226.7"/>
    <n v="4"/>
    <n v="0.01"/>
    <n v="383.95"/>
    <x v="2"/>
    <s v="Critical"/>
  </r>
  <r>
    <s v="ORD0011"/>
    <d v="2014-09-06T00:00:00"/>
    <s v="6/14/2014"/>
    <s v="CUST6531"/>
    <s v="Customer 11"/>
    <x v="2"/>
    <x v="0"/>
    <s v="New York"/>
    <s v="Los Angeles"/>
    <x v="1"/>
    <s v="Phones"/>
    <s v="Product 1"/>
    <n v="1694.48"/>
    <n v="9"/>
    <n v="0.14"/>
    <n v="398.56"/>
    <x v="0"/>
    <s v="Critical"/>
  </r>
  <r>
    <s v="ORD0012"/>
    <d v="2014-09-06T00:00:00"/>
    <s v="6/14/2014"/>
    <s v="CUST2388"/>
    <s v="Customer 12"/>
    <x v="1"/>
    <x v="0"/>
    <s v="California"/>
    <s v="Los Angeles"/>
    <x v="0"/>
    <s v="Tables"/>
    <s v="Product 41"/>
    <n v="3812.16"/>
    <n v="1"/>
    <n v="0.24"/>
    <n v="266.46"/>
    <x v="4"/>
    <s v="Critical"/>
  </r>
  <r>
    <s v="ORD0013"/>
    <s v="4/15/2017"/>
    <s v="4/20/2017"/>
    <s v="CUST3069"/>
    <s v="Customer 13"/>
    <x v="0"/>
    <x v="2"/>
    <s v="Texas"/>
    <s v="Chicago"/>
    <x v="0"/>
    <s v="Tables"/>
    <s v="Product 47"/>
    <n v="2842.49"/>
    <n v="1"/>
    <n v="0.11"/>
    <n v="925.85"/>
    <x v="3"/>
    <s v="Medium"/>
  </r>
  <r>
    <s v="ORD0014"/>
    <d v="2016-05-12T00:00:00"/>
    <d v="2016-10-12T00:00:00"/>
    <s v="CUST7889"/>
    <s v="Customer 14"/>
    <x v="2"/>
    <x v="2"/>
    <s v="California"/>
    <s v="Houston"/>
    <x v="2"/>
    <s v="Chairs"/>
    <s v="Product 18"/>
    <n v="492.65"/>
    <n v="4"/>
    <n v="0.12"/>
    <n v="115.59"/>
    <x v="2"/>
    <s v="High"/>
  </r>
  <r>
    <s v="ORD0015"/>
    <s v="11/22/2015"/>
    <s v="11/26/2015"/>
    <s v="CUST3482"/>
    <s v="Customer 15"/>
    <x v="0"/>
    <x v="0"/>
    <s v="Illinois"/>
    <s v="New York City"/>
    <x v="2"/>
    <s v="Phones"/>
    <s v="Product 31"/>
    <n v="3811.3"/>
    <n v="9"/>
    <n v="0.22"/>
    <n v="583.88"/>
    <x v="4"/>
    <s v="Critical"/>
  </r>
  <r>
    <s v="ORD0016"/>
    <s v="11/22/2015"/>
    <s v="11/26/2015"/>
    <s v="CUST5457"/>
    <s v="Customer 16"/>
    <x v="0"/>
    <x v="2"/>
    <s v="Florida"/>
    <s v="Los Angeles"/>
    <x v="1"/>
    <s v="Chairs"/>
    <s v="Product 28"/>
    <n v="527.84"/>
    <n v="7"/>
    <n v="0.08"/>
    <n v="90.63"/>
    <x v="3"/>
    <s v="Medium"/>
  </r>
  <r>
    <s v="ORD0017"/>
    <d v="2014-11-11T00:00:00"/>
    <s v="11/18/2014"/>
    <s v="CUST5255"/>
    <s v="Customer 17"/>
    <x v="1"/>
    <x v="2"/>
    <s v="California"/>
    <s v="Houston"/>
    <x v="2"/>
    <s v="Binders"/>
    <s v="Product 33"/>
    <n v="188.72"/>
    <n v="2"/>
    <n v="0.07000000000000001"/>
    <n v="47.45"/>
    <x v="0"/>
    <s v="Low"/>
  </r>
  <r>
    <s v="ORD0018"/>
    <s v="5/13/2014"/>
    <s v="5/15/2014"/>
    <s v="CUST5480"/>
    <s v="Customer 18"/>
    <x v="2"/>
    <x v="2"/>
    <s v="New York"/>
    <s v="Miami"/>
    <x v="2"/>
    <s v="Binders"/>
    <s v="Product 39"/>
    <n v="1493.51"/>
    <n v="6"/>
    <n v="0.07000000000000001"/>
    <n v="151.04"/>
    <x v="1"/>
    <s v="Low"/>
  </r>
  <r>
    <s v="ORD0019"/>
    <s v="8/27/2014"/>
    <d v="2014-01-09T00:00:00"/>
    <s v="CUST9417"/>
    <s v="Customer 19"/>
    <x v="0"/>
    <x v="0"/>
    <s v="Illinois"/>
    <s v="Chicago"/>
    <x v="1"/>
    <s v="Chairs"/>
    <s v="Product 49"/>
    <n v="3740.31"/>
    <n v="7"/>
    <n v="0.07000000000000001"/>
    <n v="625.38"/>
    <x v="4"/>
    <s v="High"/>
  </r>
  <r>
    <s v="ORD0020"/>
    <s v="8/27/2014"/>
    <d v="2014-01-09T00:00:00"/>
    <s v="CUST4184"/>
    <s v="Customer 20"/>
    <x v="0"/>
    <x v="1"/>
    <s v="New York"/>
    <s v="New York City"/>
    <x v="2"/>
    <s v="Chairs"/>
    <s v="Product 48"/>
    <n v="2966.79"/>
    <n v="8"/>
    <n v="0.14"/>
    <n v="195.03"/>
    <x v="1"/>
    <s v="Critical"/>
  </r>
  <r>
    <s v="ORD0021"/>
    <s v="8/27/2014"/>
    <d v="2014-01-09T00:00:00"/>
    <s v="CUST4487"/>
    <s v="Customer 21"/>
    <x v="2"/>
    <x v="1"/>
    <s v="Texas"/>
    <s v="Houston"/>
    <x v="1"/>
    <s v="Chairs"/>
    <s v="Product 29"/>
    <n v="785.48"/>
    <n v="8"/>
    <n v="0.06"/>
    <n v="60.65"/>
    <x v="2"/>
    <s v="Low"/>
  </r>
  <r>
    <s v="ORD0022"/>
    <d v="2016-09-12T00:00:00"/>
    <s v="12/13/2016"/>
    <s v="CUST1432"/>
    <s v="Customer 22"/>
    <x v="1"/>
    <x v="1"/>
    <s v="New York"/>
    <s v="Los Angeles"/>
    <x v="1"/>
    <s v="Binders"/>
    <s v="Product 13"/>
    <n v="1494.89"/>
    <n v="6"/>
    <n v="0.07000000000000001"/>
    <n v="419.46"/>
    <x v="2"/>
    <s v="Critical"/>
  </r>
  <r>
    <s v="ORD0023"/>
    <d v="2016-09-12T00:00:00"/>
    <s v="12/13/2016"/>
    <s v="CUST5762"/>
    <s v="Customer 23"/>
    <x v="0"/>
    <x v="0"/>
    <s v="Florida"/>
    <s v="Miami"/>
    <x v="1"/>
    <s v="Chairs"/>
    <s v="Product 44"/>
    <n v="3601.79"/>
    <n v="1"/>
    <n v="0.04"/>
    <n v="575.08"/>
    <x v="1"/>
    <s v="High"/>
  </r>
  <r>
    <s v="ORD0024"/>
    <s v="7/16/2017"/>
    <s v="7/18/2017"/>
    <s v="CUST2013"/>
    <s v="Customer 24"/>
    <x v="1"/>
    <x v="1"/>
    <s v="Texas"/>
    <s v="Chicago"/>
    <x v="1"/>
    <s v="Storage"/>
    <s v="Product 4"/>
    <n v="1018.33"/>
    <n v="7"/>
    <n v="0.16"/>
    <n v="120.02"/>
    <x v="0"/>
    <s v="Medium"/>
  </r>
  <r>
    <s v="ORD0025"/>
    <s v="9/25/2015"/>
    <s v="9/30/2015"/>
    <s v="CUST2537"/>
    <s v="Customer 25"/>
    <x v="0"/>
    <x v="2"/>
    <s v="Florida"/>
    <s v="Miami"/>
    <x v="2"/>
    <s v="Tables"/>
    <s v="Product 2"/>
    <n v="675.86"/>
    <n v="9"/>
    <n v="0.16"/>
    <n v="126.48"/>
    <x v="3"/>
    <s v="Low"/>
  </r>
  <r>
    <s v="ORD0026"/>
    <s v="1/16/2016"/>
    <s v="1/20/2016"/>
    <s v="CUST7672"/>
    <s v="Customer 26"/>
    <x v="0"/>
    <x v="2"/>
    <s v="Florida"/>
    <s v="Houston"/>
    <x v="0"/>
    <s v="Phones"/>
    <s v="Product 38"/>
    <n v="4932.39"/>
    <n v="3"/>
    <n v="0.11"/>
    <n v="363.93"/>
    <x v="2"/>
    <s v="High"/>
  </r>
  <r>
    <s v="ORD0027"/>
    <s v="1/16/2016"/>
    <s v="1/20/2016"/>
    <s v="CUST7871"/>
    <s v="Customer 27"/>
    <x v="1"/>
    <x v="1"/>
    <s v="Texas"/>
    <s v="Miami"/>
    <x v="0"/>
    <s v="Binders"/>
    <s v="Product 30"/>
    <n v="3156.11"/>
    <n v="6"/>
    <n v="0.08"/>
    <n v="482.15"/>
    <x v="3"/>
    <s v="Low"/>
  </r>
  <r>
    <s v="ORD0028"/>
    <s v="9/17/2015"/>
    <s v="9/21/2015"/>
    <s v="CUST3209"/>
    <s v="Customer 28"/>
    <x v="1"/>
    <x v="0"/>
    <s v="California"/>
    <s v="Houston"/>
    <x v="1"/>
    <s v="Phones"/>
    <s v="Product 30"/>
    <n v="586.53"/>
    <n v="5"/>
    <n v="0.24"/>
    <n v="109.15"/>
    <x v="1"/>
    <s v="Medium"/>
  </r>
  <r>
    <s v="ORD0029"/>
    <s v="9/17/2015"/>
    <s v="9/21/2015"/>
    <s v="CUST9516"/>
    <s v="Customer 29"/>
    <x v="2"/>
    <x v="0"/>
    <s v="California"/>
    <s v="Houston"/>
    <x v="1"/>
    <s v="Chairs"/>
    <s v="Product 41"/>
    <n v="1825.88"/>
    <n v="10"/>
    <n v="0.18"/>
    <n v="513.4299999999999"/>
    <x v="0"/>
    <s v="Critical"/>
  </r>
  <r>
    <s v="ORD0030"/>
    <s v="9/17/2015"/>
    <s v="9/21/2015"/>
    <s v="CUST6101"/>
    <s v="Customer 30"/>
    <x v="0"/>
    <x v="1"/>
    <s v="Texas"/>
    <s v="Miami"/>
    <x v="1"/>
    <s v="Phones"/>
    <s v="Product 24"/>
    <n v="4587.03"/>
    <n v="4"/>
    <n v="0.17"/>
    <n v="1198.45"/>
    <x v="1"/>
    <s v="Low"/>
  </r>
  <r>
    <s v="ORD0031"/>
    <s v="9/17/2015"/>
    <s v="9/21/2015"/>
    <s v="CUST7538"/>
    <s v="Customer 31"/>
    <x v="1"/>
    <x v="2"/>
    <s v="Texas"/>
    <s v="New York City"/>
    <x v="1"/>
    <s v="Storage"/>
    <s v="Product 17"/>
    <n v="4582.04"/>
    <n v="1"/>
    <n v="0.07000000000000001"/>
    <n v="701.3200000000001"/>
    <x v="2"/>
    <s v="Medium"/>
  </r>
  <r>
    <s v="ORD0032"/>
    <s v="9/17/2015"/>
    <s v="9/21/2015"/>
    <s v="CUST6262"/>
    <s v="Customer 32"/>
    <x v="1"/>
    <x v="1"/>
    <s v="Texas"/>
    <s v="Chicago"/>
    <x v="2"/>
    <s v="Phones"/>
    <s v="Product 41"/>
    <n v="3931.32"/>
    <n v="5"/>
    <n v="0.01"/>
    <n v="976.97"/>
    <x v="3"/>
    <s v="Medium"/>
  </r>
  <r>
    <s v="ORD0033"/>
    <s v="9/17/2015"/>
    <s v="9/21/2015"/>
    <s v="CUST2377"/>
    <s v="Customer 33"/>
    <x v="1"/>
    <x v="1"/>
    <s v="Texas"/>
    <s v="Los Angeles"/>
    <x v="0"/>
    <s v="Binders"/>
    <s v="Product 42"/>
    <n v="1172.6"/>
    <n v="9"/>
    <n v="0.21"/>
    <n v="165.23"/>
    <x v="1"/>
    <s v="High"/>
  </r>
  <r>
    <s v="ORD0034"/>
    <s v="9/17/2015"/>
    <s v="9/21/2015"/>
    <s v="CUST5504"/>
    <s v="Customer 34"/>
    <x v="1"/>
    <x v="0"/>
    <s v="New York"/>
    <s v="New York City"/>
    <x v="0"/>
    <s v="Tables"/>
    <s v="Product 3"/>
    <n v="949.13"/>
    <n v="2"/>
    <n v="0.26"/>
    <n v="115.77"/>
    <x v="1"/>
    <s v="Low"/>
  </r>
  <r>
    <s v="ORD0035"/>
    <s v="10/19/2017"/>
    <s v="10/23/2017"/>
    <s v="CUST1603"/>
    <s v="Customer 35"/>
    <x v="0"/>
    <x v="0"/>
    <s v="Texas"/>
    <s v="New York City"/>
    <x v="1"/>
    <s v="Phones"/>
    <s v="Product 43"/>
    <n v="1185.82"/>
    <n v="4"/>
    <n v="0.29"/>
    <n v="241.48"/>
    <x v="1"/>
    <s v="Critical"/>
  </r>
  <r>
    <s v="ORD0036"/>
    <d v="2016-08-12T00:00:00"/>
    <d v="2016-10-12T00:00:00"/>
    <s v="CUST9072"/>
    <s v="Customer 36"/>
    <x v="2"/>
    <x v="0"/>
    <s v="Florida"/>
    <s v="New York City"/>
    <x v="1"/>
    <s v="Phones"/>
    <s v="Product 7"/>
    <n v="3980.49"/>
    <n v="3"/>
    <n v="0.21"/>
    <n v="946.4400000000001"/>
    <x v="4"/>
    <s v="Critical"/>
  </r>
  <r>
    <s v="ORD0037"/>
    <d v="2016-08-12T00:00:00"/>
    <d v="2016-10-12T00:00:00"/>
    <s v="CUST5197"/>
    <s v="Customer 37"/>
    <x v="1"/>
    <x v="0"/>
    <s v="California"/>
    <s v="Houston"/>
    <x v="2"/>
    <s v="Tables"/>
    <s v="Product 25"/>
    <n v="2792.81"/>
    <n v="6"/>
    <n v="0.12"/>
    <n v="354.87"/>
    <x v="2"/>
    <s v="Medium"/>
  </r>
  <r>
    <s v="ORD0038"/>
    <s v="12/27/2015"/>
    <s v="12/31/2015"/>
    <s v="CUST6808"/>
    <s v="Customer 38"/>
    <x v="0"/>
    <x v="0"/>
    <s v="Florida"/>
    <s v="Chicago"/>
    <x v="2"/>
    <s v="Chairs"/>
    <s v="Product 15"/>
    <n v="1977.67"/>
    <n v="4"/>
    <n v="0.05"/>
    <n v="246.52"/>
    <x v="0"/>
    <s v="Medium"/>
  </r>
  <r>
    <s v="ORD0039"/>
    <s v="12/27/2015"/>
    <s v="12/31/2015"/>
    <s v="CUST8283"/>
    <s v="Customer 39"/>
    <x v="1"/>
    <x v="3"/>
    <s v="California"/>
    <s v="Miami"/>
    <x v="0"/>
    <s v="Storage"/>
    <s v="Product 25"/>
    <n v="97.55"/>
    <n v="10"/>
    <n v="0.24"/>
    <n v="8.1"/>
    <x v="2"/>
    <s v="Medium"/>
  </r>
  <r>
    <s v="ORD0040"/>
    <s v="12/27/2015"/>
    <s v="12/31/2015"/>
    <s v="CUST9796"/>
    <s v="Customer 40"/>
    <x v="2"/>
    <x v="2"/>
    <s v="Florida"/>
    <s v="Houston"/>
    <x v="0"/>
    <s v="Phones"/>
    <s v="Product 19"/>
    <n v="4420.72"/>
    <n v="1"/>
    <n v="0.12"/>
    <n v="508.5"/>
    <x v="2"/>
    <s v="High"/>
  </r>
  <r>
    <s v="ORD0041"/>
    <s v="12/27/2015"/>
    <s v="12/31/2015"/>
    <s v="CUST5838"/>
    <s v="Customer 41"/>
    <x v="2"/>
    <x v="1"/>
    <s v="Florida"/>
    <s v="Chicago"/>
    <x v="1"/>
    <s v="Phones"/>
    <s v="Product 32"/>
    <n v="3180.11"/>
    <n v="2"/>
    <n v="0.21"/>
    <n v="747.99"/>
    <x v="3"/>
    <s v="Critical"/>
  </r>
  <r>
    <s v="ORD0042"/>
    <d v="2017-10-09T00:00:00"/>
    <s v="9/15/2017"/>
    <s v="CUST4596"/>
    <s v="Customer 42"/>
    <x v="2"/>
    <x v="0"/>
    <s v="Florida"/>
    <s v="Chicago"/>
    <x v="0"/>
    <s v="Phones"/>
    <s v="Product 9"/>
    <n v="3064.85"/>
    <n v="4"/>
    <n v="0.26"/>
    <n v="277.75"/>
    <x v="4"/>
    <s v="Medium"/>
  </r>
  <r>
    <s v="ORD0043"/>
    <s v="7/17/2016"/>
    <s v="7/22/2016"/>
    <s v="CUST5113"/>
    <s v="Customer 43"/>
    <x v="2"/>
    <x v="1"/>
    <s v="Illinois"/>
    <s v="Houston"/>
    <x v="2"/>
    <s v="Phones"/>
    <s v="Product 10"/>
    <n v="3137.97"/>
    <n v="8"/>
    <n v="0.22"/>
    <n v="512.88"/>
    <x v="0"/>
    <s v="High"/>
  </r>
  <r>
    <s v="ORD0044"/>
    <s v="9/19/2017"/>
    <s v="9/23/2017"/>
    <s v="CUST4653"/>
    <s v="Customer 44"/>
    <x v="2"/>
    <x v="3"/>
    <s v="New York"/>
    <s v="Chicago"/>
    <x v="2"/>
    <s v="Phones"/>
    <s v="Product 9"/>
    <n v="1197.65"/>
    <n v="5"/>
    <n v="0.04"/>
    <n v="371.59"/>
    <x v="3"/>
    <s v="Medium"/>
  </r>
  <r>
    <s v="ORD0045"/>
    <d v="2016-11-03T00:00:00"/>
    <s v="3/13/2016"/>
    <s v="CUST1195"/>
    <s v="Customer 45"/>
    <x v="2"/>
    <x v="1"/>
    <s v="Florida"/>
    <s v="New York City"/>
    <x v="2"/>
    <s v="Phones"/>
    <s v="Product 31"/>
    <n v="1057.95"/>
    <n v="4"/>
    <n v="0.18"/>
    <n v="358.4"/>
    <x v="0"/>
    <s v="High"/>
  </r>
  <r>
    <s v="ORD0046"/>
    <d v="2016-11-03T00:00:00"/>
    <s v="3/13/2016"/>
    <s v="CUST6682"/>
    <s v="Customer 46"/>
    <x v="2"/>
    <x v="2"/>
    <s v="Illinois"/>
    <s v="Houston"/>
    <x v="0"/>
    <s v="Chairs"/>
    <s v="Product 24"/>
    <n v="802.9299999999999"/>
    <n v="5"/>
    <n v="0.02"/>
    <n v="88"/>
    <x v="3"/>
    <s v="Critical"/>
  </r>
  <r>
    <s v="ORD0047"/>
    <s v="10/20/2014"/>
    <s v="10/25/2014"/>
    <s v="CUST9557"/>
    <s v="Customer 47"/>
    <x v="1"/>
    <x v="3"/>
    <s v="New York"/>
    <s v="New York City"/>
    <x v="0"/>
    <s v="Chairs"/>
    <s v="Product 42"/>
    <n v="607.1900000000001"/>
    <n v="2"/>
    <n v="0.02"/>
    <n v="178.32"/>
    <x v="2"/>
    <s v="Low"/>
  </r>
  <r>
    <s v="ORD0048"/>
    <s v="6/20/2016"/>
    <s v="6/25/2016"/>
    <s v="CUST5362"/>
    <s v="Customer 48"/>
    <x v="2"/>
    <x v="2"/>
    <s v="Florida"/>
    <s v="Houston"/>
    <x v="0"/>
    <s v="Storage"/>
    <s v="Product 20"/>
    <n v="1520.37"/>
    <n v="10"/>
    <n v="0.07000000000000001"/>
    <n v="204.29"/>
    <x v="2"/>
    <s v="Critical"/>
  </r>
  <r>
    <s v="ORD0049"/>
    <s v="6/20/2016"/>
    <s v="6/25/2016"/>
    <s v="CUST2294"/>
    <s v="Customer 49"/>
    <x v="1"/>
    <x v="2"/>
    <s v="New York"/>
    <s v="Chicago"/>
    <x v="2"/>
    <s v="Tables"/>
    <s v="Product 24"/>
    <n v="3711.87"/>
    <n v="5"/>
    <n v="0.03"/>
    <n v="881.67"/>
    <x v="0"/>
    <s v="Medium"/>
  </r>
  <r>
    <s v="ORD0050"/>
    <s v="4/18/2015"/>
    <s v="4/22/2015"/>
    <s v="CUST7946"/>
    <s v="Customer 50"/>
    <x v="0"/>
    <x v="1"/>
    <s v="Florida"/>
    <s v="Miami"/>
    <x v="0"/>
    <s v="Chairs"/>
    <s v="Product 42"/>
    <n v="1695.91"/>
    <n v="4"/>
    <n v="0.2"/>
    <n v="150.83"/>
    <x v="3"/>
    <s v="Medium"/>
  </r>
  <r>
    <s v="ORD0051"/>
    <s v="4/18/2015"/>
    <s v="4/22/2015"/>
    <s v="CUST9380"/>
    <s v="Customer 51"/>
    <x v="0"/>
    <x v="2"/>
    <s v="California"/>
    <s v="Houston"/>
    <x v="0"/>
    <s v="Storage"/>
    <s v="Product 18"/>
    <n v="96.45999999999999"/>
    <n v="9"/>
    <n v="0.02"/>
    <n v="23.27"/>
    <x v="2"/>
    <s v="Low"/>
  </r>
  <r>
    <s v="ORD0052"/>
    <s v="4/18/2015"/>
    <s v="4/22/2015"/>
    <s v="CUST9208"/>
    <s v="Customer 52"/>
    <x v="2"/>
    <x v="1"/>
    <s v="New York"/>
    <s v="New York City"/>
    <x v="2"/>
    <s v="Storage"/>
    <s v="Product 35"/>
    <n v="4520.2"/>
    <n v="9"/>
    <n v="0.24"/>
    <n v="876.73"/>
    <x v="4"/>
    <s v="Low"/>
  </r>
  <r>
    <s v="ORD0053"/>
    <s v="4/18/2015"/>
    <s v="4/22/2015"/>
    <s v="CUST7328"/>
    <s v="Customer 53"/>
    <x v="2"/>
    <x v="1"/>
    <s v="California"/>
    <s v="Chicago"/>
    <x v="1"/>
    <s v="Chairs"/>
    <s v="Product 12"/>
    <n v="1652.39"/>
    <n v="10"/>
    <n v="0.15"/>
    <n v="482.56"/>
    <x v="4"/>
    <s v="Medium"/>
  </r>
  <r>
    <s v="ORD0054"/>
    <d v="2016-11-12T00:00:00"/>
    <s v="12/17/2016"/>
    <s v="CUST2719"/>
    <s v="Customer 54"/>
    <x v="0"/>
    <x v="1"/>
    <s v="California"/>
    <s v="Houston"/>
    <x v="1"/>
    <s v="Binders"/>
    <s v="Product 39"/>
    <n v="2122.73"/>
    <n v="10"/>
    <n v="0.22"/>
    <n v="618.67"/>
    <x v="1"/>
    <s v="Low"/>
  </r>
  <r>
    <s v="ORD0055"/>
    <d v="2016-11-12T00:00:00"/>
    <s v="12/17/2016"/>
    <s v="CUST5286"/>
    <s v="Customer 55"/>
    <x v="2"/>
    <x v="1"/>
    <s v="Florida"/>
    <s v="Chicago"/>
    <x v="2"/>
    <s v="Storage"/>
    <s v="Product 40"/>
    <n v="3624.16"/>
    <n v="3"/>
    <n v="0.21"/>
    <n v="424.71"/>
    <x v="2"/>
    <s v="Low"/>
  </r>
  <r>
    <s v="ORD0056"/>
    <s v="6/17/2016"/>
    <s v="6/18/2016"/>
    <s v="CUST6015"/>
    <s v="Customer 56"/>
    <x v="0"/>
    <x v="2"/>
    <s v="Illinois"/>
    <s v="New York City"/>
    <x v="0"/>
    <s v="Tables"/>
    <s v="Product 40"/>
    <n v="810.74"/>
    <n v="7"/>
    <n v="0.27"/>
    <n v="107.42"/>
    <x v="2"/>
    <s v="Medium"/>
  </r>
  <r>
    <s v="ORD0057"/>
    <s v="6/17/2016"/>
    <s v="6/18/2016"/>
    <s v="CUST9289"/>
    <s v="Customer 57"/>
    <x v="0"/>
    <x v="0"/>
    <s v="Florida"/>
    <s v="New York City"/>
    <x v="0"/>
    <s v="Chairs"/>
    <s v="Product 25"/>
    <n v="1894.58"/>
    <n v="5"/>
    <n v="0.03"/>
    <n v="408.53"/>
    <x v="3"/>
    <s v="Low"/>
  </r>
  <r>
    <s v="ORD0058"/>
    <s v="6/17/2016"/>
    <s v="6/18/2016"/>
    <s v="CUST2069"/>
    <s v="Customer 58"/>
    <x v="1"/>
    <x v="1"/>
    <s v="New York"/>
    <s v="Los Angeles"/>
    <x v="0"/>
    <s v="Binders"/>
    <s v="Product 13"/>
    <n v="2385.16"/>
    <n v="5"/>
    <n v="0.12"/>
    <n v="235.61"/>
    <x v="1"/>
    <s v="Critical"/>
  </r>
  <r>
    <s v="ORD0059"/>
    <s v="6/17/2016"/>
    <s v="6/18/2016"/>
    <s v="CUST3480"/>
    <s v="Customer 59"/>
    <x v="1"/>
    <x v="0"/>
    <s v="Florida"/>
    <s v="New York City"/>
    <x v="0"/>
    <s v="Storage"/>
    <s v="Product 34"/>
    <n v="2749.14"/>
    <n v="1"/>
    <n v="0.14"/>
    <n v="355.22"/>
    <x v="2"/>
    <s v="High"/>
  </r>
  <r>
    <s v="ORD0060"/>
    <s v="6/17/2016"/>
    <s v="6/18/2016"/>
    <s v="CUST6025"/>
    <s v="Customer 60"/>
    <x v="1"/>
    <x v="3"/>
    <s v="New York"/>
    <s v="Miami"/>
    <x v="2"/>
    <s v="Chairs"/>
    <s v="Product 28"/>
    <n v="532.27"/>
    <n v="8"/>
    <n v="0.1"/>
    <n v="142"/>
    <x v="3"/>
    <s v="Medium"/>
  </r>
  <r>
    <s v="ORD0061"/>
    <s v="6/17/2016"/>
    <s v="6/18/2016"/>
    <s v="CUST5993"/>
    <s v="Customer 61"/>
    <x v="2"/>
    <x v="1"/>
    <s v="Illinois"/>
    <s v="Houston"/>
    <x v="0"/>
    <s v="Storage"/>
    <s v="Product 27"/>
    <n v="2331.98"/>
    <n v="2"/>
    <n v="0.28"/>
    <n v="122.15"/>
    <x v="2"/>
    <s v="Critical"/>
  </r>
  <r>
    <s v="ORD0062"/>
    <s v="6/17/2016"/>
    <s v="6/18/2016"/>
    <s v="CUST5195"/>
    <s v="Customer 62"/>
    <x v="1"/>
    <x v="0"/>
    <s v="New York"/>
    <s v="Chicago"/>
    <x v="1"/>
    <s v="Phones"/>
    <s v="Product 16"/>
    <n v="3596.35"/>
    <n v="3"/>
    <n v="0.05"/>
    <n v="1169.87"/>
    <x v="1"/>
    <s v="High"/>
  </r>
  <r>
    <s v="ORD0063"/>
    <s v="11/24/2015"/>
    <s v="11/30/2015"/>
    <s v="CUST6882"/>
    <s v="Customer 63"/>
    <x v="2"/>
    <x v="0"/>
    <s v="Texas"/>
    <s v="Chicago"/>
    <x v="1"/>
    <s v="Chairs"/>
    <s v="Product 41"/>
    <n v="2720.31"/>
    <n v="10"/>
    <n v="0.28"/>
    <n v="407.58"/>
    <x v="1"/>
    <s v="Low"/>
  </r>
  <r>
    <s v="ORD0064"/>
    <s v="11/24/2015"/>
    <s v="11/30/2015"/>
    <s v="CUST2762"/>
    <s v="Customer 64"/>
    <x v="1"/>
    <x v="3"/>
    <s v="California"/>
    <s v="Chicago"/>
    <x v="0"/>
    <s v="Storage"/>
    <s v="Product 37"/>
    <n v="3507.21"/>
    <n v="8"/>
    <n v="0.18"/>
    <n v="700.39"/>
    <x v="0"/>
    <s v="Medium"/>
  </r>
  <r>
    <s v="ORD0065"/>
    <s v="11/24/2015"/>
    <s v="11/30/2015"/>
    <s v="CUST8707"/>
    <s v="Customer 65"/>
    <x v="1"/>
    <x v="0"/>
    <s v="New York"/>
    <s v="Chicago"/>
    <x v="2"/>
    <s v="Tables"/>
    <s v="Product 5"/>
    <n v="3624.61"/>
    <n v="10"/>
    <n v="0.1"/>
    <n v="986.08"/>
    <x v="4"/>
    <s v="Critical"/>
  </r>
  <r>
    <s v="ORD0066"/>
    <s v="11/24/2015"/>
    <s v="11/30/2015"/>
    <s v="CUST6718"/>
    <s v="Customer 66"/>
    <x v="1"/>
    <x v="3"/>
    <s v="California"/>
    <s v="New York City"/>
    <x v="2"/>
    <s v="Binders"/>
    <s v="Product 31"/>
    <n v="1020.32"/>
    <n v="9"/>
    <n v="0.13"/>
    <n v="87.36"/>
    <x v="4"/>
    <s v="Medium"/>
  </r>
  <r>
    <s v="ORD0067"/>
    <s v="4/30/2015"/>
    <d v="2015-05-05T00:00:00"/>
    <s v="CUST3424"/>
    <s v="Customer 67"/>
    <x v="1"/>
    <x v="2"/>
    <s v="California"/>
    <s v="New York City"/>
    <x v="2"/>
    <s v="Tables"/>
    <s v="Product 12"/>
    <n v="3427.9"/>
    <n v="10"/>
    <n v="0.1"/>
    <n v="216.15"/>
    <x v="1"/>
    <s v="Low"/>
  </r>
  <r>
    <s v="ORD0068"/>
    <d v="2014-05-12T00:00:00"/>
    <d v="2014-10-12T00:00:00"/>
    <s v="CUST7846"/>
    <s v="Customer 68"/>
    <x v="1"/>
    <x v="2"/>
    <s v="Texas"/>
    <s v="Houston"/>
    <x v="1"/>
    <s v="Chairs"/>
    <s v="Product 35"/>
    <n v="2861.94"/>
    <n v="10"/>
    <n v="0.11"/>
    <n v="832.55"/>
    <x v="3"/>
    <s v="Critical"/>
  </r>
  <r>
    <s v="ORD0069"/>
    <d v="2014-05-12T00:00:00"/>
    <d v="2014-10-12T00:00:00"/>
    <s v="CUST6997"/>
    <s v="Customer 69"/>
    <x v="1"/>
    <x v="2"/>
    <s v="Florida"/>
    <s v="Miami"/>
    <x v="2"/>
    <s v="Chairs"/>
    <s v="Product 28"/>
    <n v="895.71"/>
    <n v="9"/>
    <n v="0.24"/>
    <n v="133.59"/>
    <x v="3"/>
    <s v="Critical"/>
  </r>
  <r>
    <s v="ORD0070"/>
    <d v="2016-04-06T00:00:00"/>
    <d v="2016-06-06T00:00:00"/>
    <s v="CUST6218"/>
    <s v="Customer 70"/>
    <x v="1"/>
    <x v="3"/>
    <s v="Illinois"/>
    <s v="Chicago"/>
    <x v="1"/>
    <s v="Binders"/>
    <s v="Product 21"/>
    <n v="4828.21"/>
    <n v="7"/>
    <n v="0.16"/>
    <n v="835.22"/>
    <x v="3"/>
    <s v="High"/>
  </r>
  <r>
    <s v="ORD0071"/>
    <s v="9/18/2016"/>
    <s v="9/23/2016"/>
    <s v="CUST7170"/>
    <s v="Customer 71"/>
    <x v="1"/>
    <x v="2"/>
    <s v="Texas"/>
    <s v="Los Angeles"/>
    <x v="2"/>
    <s v="Phones"/>
    <s v="Product 27"/>
    <n v="4214.49"/>
    <n v="5"/>
    <n v="0.02"/>
    <n v="444.03"/>
    <x v="0"/>
    <s v="Low"/>
  </r>
  <r>
    <s v="ORD0072"/>
    <s v="9/14/2017"/>
    <s v="9/17/2017"/>
    <s v="CUST9997"/>
    <s v="Customer 72"/>
    <x v="2"/>
    <x v="2"/>
    <s v="New York"/>
    <s v="Los Angeles"/>
    <x v="2"/>
    <s v="Phones"/>
    <s v="Product 43"/>
    <n v="1247.26"/>
    <n v="1"/>
    <n v="0"/>
    <n v="112.48"/>
    <x v="4"/>
    <s v="Medium"/>
  </r>
  <r>
    <s v="ORD0073"/>
    <s v="4/26/2015"/>
    <d v="2015-02-05T00:00:00"/>
    <s v="CUST3363"/>
    <s v="Customer 73"/>
    <x v="1"/>
    <x v="2"/>
    <s v="Florida"/>
    <s v="Miami"/>
    <x v="1"/>
    <s v="Tables"/>
    <s v="Product 31"/>
    <n v="1072.54"/>
    <n v="3"/>
    <n v="0.1"/>
    <n v="159.71"/>
    <x v="3"/>
    <s v="Medium"/>
  </r>
  <r>
    <s v="ORD0074"/>
    <s v="4/26/2015"/>
    <d v="2015-02-05T00:00:00"/>
    <s v="CUST1540"/>
    <s v="Customer 74"/>
    <x v="2"/>
    <x v="2"/>
    <s v="New York"/>
    <s v="Chicago"/>
    <x v="0"/>
    <s v="Phones"/>
    <s v="Product 35"/>
    <n v="2499.04"/>
    <n v="8"/>
    <n v="0.07000000000000001"/>
    <n v="578.1799999999999"/>
    <x v="3"/>
    <s v="Critical"/>
  </r>
  <r>
    <s v="ORD0075"/>
    <s v="4/26/2015"/>
    <d v="2015-02-05T00:00:00"/>
    <s v="CUST2661"/>
    <s v="Customer 75"/>
    <x v="1"/>
    <x v="3"/>
    <s v="Texas"/>
    <s v="Houston"/>
    <x v="0"/>
    <s v="Tables"/>
    <s v="Product 39"/>
    <n v="4867.28"/>
    <n v="4"/>
    <n v="0.3"/>
    <n v="897.35"/>
    <x v="4"/>
    <s v="Critical"/>
  </r>
  <r>
    <s v="ORD0076"/>
    <d v="2017-09-12T00:00:00"/>
    <d v="2017-11-12T00:00:00"/>
    <s v="CUST8386"/>
    <s v="Customer 76"/>
    <x v="1"/>
    <x v="1"/>
    <s v="Illinois"/>
    <s v="New York City"/>
    <x v="1"/>
    <s v="Chairs"/>
    <s v="Product 15"/>
    <n v="2755.11"/>
    <n v="6"/>
    <n v="0.15"/>
    <n v="868.72"/>
    <x v="0"/>
    <s v="Medium"/>
  </r>
  <r>
    <s v="ORD0077"/>
    <d v="2017-09-12T00:00:00"/>
    <d v="2017-11-12T00:00:00"/>
    <s v="CUST7894"/>
    <s v="Customer 77"/>
    <x v="0"/>
    <x v="0"/>
    <s v="New York"/>
    <s v="Chicago"/>
    <x v="1"/>
    <s v="Chairs"/>
    <s v="Product 39"/>
    <n v="3598.23"/>
    <n v="3"/>
    <n v="0.06"/>
    <n v="913.4"/>
    <x v="1"/>
    <s v="Critical"/>
  </r>
  <r>
    <s v="ORD0078"/>
    <d v="2017-09-12T00:00:00"/>
    <d v="2017-11-12T00:00:00"/>
    <s v="CUST9951"/>
    <s v="Customer 78"/>
    <x v="1"/>
    <x v="2"/>
    <s v="Illinois"/>
    <s v="Houston"/>
    <x v="1"/>
    <s v="Phones"/>
    <s v="Product 48"/>
    <n v="1092.54"/>
    <n v="6"/>
    <n v="0.24"/>
    <n v="172.65"/>
    <x v="2"/>
    <s v="High"/>
  </r>
  <r>
    <s v="ORD0079"/>
    <s v="11/26/2014"/>
    <d v="2014-01-12T00:00:00"/>
    <s v="CUST5637"/>
    <s v="Customer 79"/>
    <x v="0"/>
    <x v="3"/>
    <s v="Florida"/>
    <s v="Miami"/>
    <x v="1"/>
    <s v="Storage"/>
    <s v="Product 11"/>
    <n v="1147.02"/>
    <n v="5"/>
    <n v="0.08"/>
    <n v="198.17"/>
    <x v="0"/>
    <s v="High"/>
  </r>
  <r>
    <s v="ORD0080"/>
    <d v="2016-12-06T00:00:00"/>
    <s v="6/15/2016"/>
    <s v="CUST4065"/>
    <s v="Customer 80"/>
    <x v="1"/>
    <x v="3"/>
    <s v="Florida"/>
    <s v="Chicago"/>
    <x v="0"/>
    <s v="Tables"/>
    <s v="Product 40"/>
    <n v="123.4"/>
    <n v="10"/>
    <n v="0.21"/>
    <n v="14.16"/>
    <x v="1"/>
    <s v="Critical"/>
  </r>
  <r>
    <s v="ORD0081"/>
    <d v="2016-12-06T00:00:00"/>
    <s v="6/15/2016"/>
    <s v="CUST5326"/>
    <s v="Customer 81"/>
    <x v="2"/>
    <x v="1"/>
    <s v="California"/>
    <s v="Houston"/>
    <x v="2"/>
    <s v="Binders"/>
    <s v="Product 32"/>
    <n v="2099.71"/>
    <n v="4"/>
    <n v="0.02"/>
    <n v="236.14"/>
    <x v="1"/>
    <s v="High"/>
  </r>
  <r>
    <s v="ORD0082"/>
    <d v="2014-12-10T00:00:00"/>
    <s v="10/16/2014"/>
    <s v="CUST7970"/>
    <s v="Customer 82"/>
    <x v="0"/>
    <x v="1"/>
    <s v="Illinois"/>
    <s v="Miami"/>
    <x v="1"/>
    <s v="Binders"/>
    <s v="Product 8"/>
    <n v="2917.1"/>
    <n v="7"/>
    <n v="0.17"/>
    <n v="281.5"/>
    <x v="1"/>
    <s v="Low"/>
  </r>
  <r>
    <s v="ORD0083"/>
    <d v="2014-12-10T00:00:00"/>
    <s v="10/16/2014"/>
    <s v="CUST9958"/>
    <s v="Customer 83"/>
    <x v="2"/>
    <x v="3"/>
    <s v="Illinois"/>
    <s v="Chicago"/>
    <x v="1"/>
    <s v="Storage"/>
    <s v="Product 33"/>
    <n v="2485.47"/>
    <n v="8"/>
    <n v="0.1"/>
    <n v="469.6"/>
    <x v="1"/>
    <s v="Low"/>
  </r>
  <r>
    <s v="ORD0084"/>
    <d v="2015-03-09T00:00:00"/>
    <d v="2015-08-09T00:00:00"/>
    <s v="CUST7806"/>
    <s v="Customer 84"/>
    <x v="0"/>
    <x v="1"/>
    <s v="California"/>
    <s v="Houston"/>
    <x v="2"/>
    <s v="Phones"/>
    <s v="Product 16"/>
    <n v="864.84"/>
    <n v="1"/>
    <n v="0.25"/>
    <n v="83.12"/>
    <x v="3"/>
    <s v="Critical"/>
  </r>
  <r>
    <s v="ORD0085"/>
    <s v="11/13/2017"/>
    <s v="11/16/2017"/>
    <s v="CUST7298"/>
    <s v="Customer 85"/>
    <x v="1"/>
    <x v="2"/>
    <s v="Florida"/>
    <s v="Los Angeles"/>
    <x v="2"/>
    <s v="Phones"/>
    <s v="Product 29"/>
    <n v="4149.61"/>
    <n v="4"/>
    <n v="0.08"/>
    <n v="875.16"/>
    <x v="0"/>
    <s v="Medium"/>
  </r>
  <r>
    <s v="ORD0086"/>
    <s v="5/28/2017"/>
    <s v="5/30/2017"/>
    <s v="CUST7635"/>
    <s v="Customer 86"/>
    <x v="2"/>
    <x v="2"/>
    <s v="New York"/>
    <s v="Miami"/>
    <x v="2"/>
    <s v="Binders"/>
    <s v="Product 26"/>
    <n v="1831.24"/>
    <n v="3"/>
    <n v="0.28"/>
    <n v="120.76"/>
    <x v="2"/>
    <s v="High"/>
  </r>
  <r>
    <s v="ORD0087"/>
    <s v="10/26/2017"/>
    <d v="2017-02-11T00:00:00"/>
    <s v="CUST7580"/>
    <s v="Customer 87"/>
    <x v="2"/>
    <x v="3"/>
    <s v="New York"/>
    <s v="Chicago"/>
    <x v="0"/>
    <s v="Chairs"/>
    <s v="Product 26"/>
    <n v="4702.96"/>
    <n v="2"/>
    <n v="0.01"/>
    <n v="714.59"/>
    <x v="1"/>
    <s v="Low"/>
  </r>
  <r>
    <s v="ORD0088"/>
    <s v="10/26/2017"/>
    <d v="2017-02-11T00:00:00"/>
    <s v="CUST2411"/>
    <s v="Customer 88"/>
    <x v="1"/>
    <x v="0"/>
    <s v="California"/>
    <s v="Los Angeles"/>
    <x v="2"/>
    <s v="Phones"/>
    <s v="Product 37"/>
    <n v="895.84"/>
    <n v="6"/>
    <n v="0.12"/>
    <n v="157.34"/>
    <x v="2"/>
    <s v="High"/>
  </r>
  <r>
    <s v="ORD0089"/>
    <d v="2016-05-04T00:00:00"/>
    <d v="2016-10-04T00:00:00"/>
    <s v="CUST8873"/>
    <s v="Customer 89"/>
    <x v="0"/>
    <x v="1"/>
    <s v="New York"/>
    <s v="Miami"/>
    <x v="2"/>
    <s v="Chairs"/>
    <s v="Product 48"/>
    <n v="1918.93"/>
    <n v="9"/>
    <n v="0.11"/>
    <n v="338.3"/>
    <x v="3"/>
    <s v="Low"/>
  </r>
  <r>
    <s v="ORD0090"/>
    <s v="9/17/2016"/>
    <s v="9/22/2016"/>
    <s v="CUST9301"/>
    <s v="Customer 90"/>
    <x v="0"/>
    <x v="1"/>
    <s v="Florida"/>
    <s v="Houston"/>
    <x v="0"/>
    <s v="Storage"/>
    <s v="Product 50"/>
    <n v="1953.71"/>
    <n v="1"/>
    <n v="0.26"/>
    <n v="680.05"/>
    <x v="0"/>
    <s v="Critical"/>
  </r>
  <r>
    <s v="ORD0091"/>
    <s v="9/17/2016"/>
    <s v="9/22/2016"/>
    <s v="CUST6850"/>
    <s v="Customer 91"/>
    <x v="1"/>
    <x v="3"/>
    <s v="Illinois"/>
    <s v="Houston"/>
    <x v="2"/>
    <s v="Phones"/>
    <s v="Product 19"/>
    <n v="3863.59"/>
    <n v="4"/>
    <n v="0.16"/>
    <n v="1157.47"/>
    <x v="4"/>
    <s v="Medium"/>
  </r>
  <r>
    <s v="ORD0092"/>
    <s v="9/17/2016"/>
    <s v="9/22/2016"/>
    <s v="CUST9796"/>
    <s v="Customer 92"/>
    <x v="0"/>
    <x v="3"/>
    <s v="Illinois"/>
    <s v="Miami"/>
    <x v="0"/>
    <s v="Storage"/>
    <s v="Product 34"/>
    <n v="2754.41"/>
    <n v="8"/>
    <n v="0.2"/>
    <n v="777.04"/>
    <x v="4"/>
    <s v="Low"/>
  </r>
  <r>
    <s v="ORD0093"/>
    <s v="1/31/2015"/>
    <d v="2015-05-02T00:00:00"/>
    <s v="CUST9072"/>
    <s v="Customer 93"/>
    <x v="0"/>
    <x v="0"/>
    <s v="New York"/>
    <s v="Houston"/>
    <x v="0"/>
    <s v="Tables"/>
    <s v="Product 27"/>
    <n v="1458.96"/>
    <n v="8"/>
    <n v="0.13"/>
    <n v="277.88"/>
    <x v="0"/>
    <s v="Critical"/>
  </r>
  <r>
    <s v="ORD0094"/>
    <s v="1/31/2015"/>
    <d v="2015-05-02T00:00:00"/>
    <s v="CUST9920"/>
    <s v="Customer 94"/>
    <x v="1"/>
    <x v="2"/>
    <s v="New York"/>
    <s v="Chicago"/>
    <x v="0"/>
    <s v="Phones"/>
    <s v="Product 18"/>
    <n v="3899.94"/>
    <n v="4"/>
    <n v="0.17"/>
    <n v="492.53"/>
    <x v="1"/>
    <s v="Low"/>
  </r>
  <r>
    <s v="ORD0095"/>
    <s v="1/31/2015"/>
    <d v="2015-05-02T00:00:00"/>
    <s v="CUST4573"/>
    <s v="Customer 95"/>
    <x v="0"/>
    <x v="3"/>
    <s v="Illinois"/>
    <s v="Chicago"/>
    <x v="0"/>
    <s v="Storage"/>
    <s v="Product 17"/>
    <n v="1863.66"/>
    <n v="9"/>
    <n v="0.27"/>
    <n v="431.31"/>
    <x v="2"/>
    <s v="Low"/>
  </r>
  <r>
    <s v="ORD0096"/>
    <d v="2017-06-11T00:00:00"/>
    <d v="2017-12-11T00:00:00"/>
    <s v="CUST9300"/>
    <s v="Customer 96"/>
    <x v="0"/>
    <x v="3"/>
    <s v="Texas"/>
    <s v="Chicago"/>
    <x v="2"/>
    <s v="Binders"/>
    <s v="Product 6"/>
    <n v="1067.43"/>
    <n v="8"/>
    <n v="0.11"/>
    <n v="139.09"/>
    <x v="1"/>
    <s v="High"/>
  </r>
  <r>
    <s v="ORD0097"/>
    <d v="2017-09-11T00:00:00"/>
    <d v="2017-11-11T00:00:00"/>
    <s v="CUST6455"/>
    <s v="Customer 97"/>
    <x v="2"/>
    <x v="1"/>
    <s v="Florida"/>
    <s v="Los Angeles"/>
    <x v="2"/>
    <s v="Storage"/>
    <s v="Product 4"/>
    <n v="3038.54"/>
    <n v="10"/>
    <n v="0.14"/>
    <n v="935.16"/>
    <x v="2"/>
    <s v="High"/>
  </r>
  <r>
    <s v="ORD0098"/>
    <s v="6/17/2017"/>
    <s v="6/20/2017"/>
    <s v="CUST6224"/>
    <s v="Customer 98"/>
    <x v="1"/>
    <x v="3"/>
    <s v="Florida"/>
    <s v="Los Angeles"/>
    <x v="2"/>
    <s v="Tables"/>
    <s v="Product 4"/>
    <n v="4402.57"/>
    <n v="2"/>
    <n v="0.14"/>
    <n v="1388.61"/>
    <x v="4"/>
    <s v="High"/>
  </r>
  <r>
    <s v="ORD0099"/>
    <d v="2016-06-09T00:00:00"/>
    <d v="2016-11-09T00:00:00"/>
    <s v="CUST2668"/>
    <s v="Customer 99"/>
    <x v="1"/>
    <x v="2"/>
    <s v="Illinois"/>
    <s v="Houston"/>
    <x v="0"/>
    <s v="Tables"/>
    <s v="Product 32"/>
    <n v="4931.09"/>
    <n v="3"/>
    <n v="0.2"/>
    <n v="1589.75"/>
    <x v="3"/>
    <s v="High"/>
  </r>
  <r>
    <s v="ORD0100"/>
    <s v="8/29/2016"/>
    <d v="2016-02-09T00:00:00"/>
    <s v="CUST9069"/>
    <s v="Customer 100"/>
    <x v="1"/>
    <x v="3"/>
    <s v="Illinois"/>
    <s v="Houston"/>
    <x v="1"/>
    <s v="Binders"/>
    <s v="Product 16"/>
    <n v="1028.25"/>
    <n v="6"/>
    <n v="0.28"/>
    <n v="211.85"/>
    <x v="2"/>
    <s v="High"/>
  </r>
</pivotCacheRecords>
</file>

<file path=xl/pivotCache/pivotCacheRecords4.xml><?xml version="1.0" encoding="utf-8"?>
<pivotCacheRecords xmlns="http://schemas.openxmlformats.org/spreadsheetml/2006/main" count="100">
  <r>
    <s v="ORD0001"/>
    <d v="2016-08-11T00:00:00"/>
    <d v="2016-11-11T00:00:00"/>
    <s v="CUST9340"/>
    <s v="Customer 1"/>
    <x v="0"/>
    <x v="0"/>
    <s v="California"/>
    <s v="New York City"/>
    <x v="0"/>
    <s v="Chairs"/>
    <s v="Product 3"/>
    <n v="1001.58"/>
    <n v="8"/>
    <n v="0.12"/>
    <n v="142.51"/>
    <x v="0"/>
    <s v="High"/>
  </r>
  <r>
    <s v="ORD0002"/>
    <d v="2016-08-11T00:00:00"/>
    <d v="2016-11-11T00:00:00"/>
    <s v="CUST9705"/>
    <s v="Customer 2"/>
    <x v="0"/>
    <x v="1"/>
    <s v="Texas"/>
    <s v="Los Angeles"/>
    <x v="1"/>
    <s v="Chairs"/>
    <s v="Product 26"/>
    <n v="4468.06"/>
    <n v="1"/>
    <n v="0.1"/>
    <n v="250.04"/>
    <x v="0"/>
    <s v="Medium"/>
  </r>
  <r>
    <s v="ORD0003"/>
    <d v="2016-12-06T00:00:00"/>
    <s v="6/16/2016"/>
    <s v="CUST4273"/>
    <s v="Customer 3"/>
    <x v="1"/>
    <x v="1"/>
    <s v="Florida"/>
    <s v="New York City"/>
    <x v="1"/>
    <s v="Storage"/>
    <s v="Product 31"/>
    <n v="2842.6"/>
    <n v="1"/>
    <n v="0.24"/>
    <n v="361.62"/>
    <x v="1"/>
    <s v="Critical"/>
  </r>
  <r>
    <s v="ORD0004"/>
    <d v="2015-11-10T00:00:00"/>
    <s v="10/18/2015"/>
    <s v="CUST5155"/>
    <s v="Customer 4"/>
    <x v="2"/>
    <x v="2"/>
    <s v="Florida"/>
    <s v="Chicago"/>
    <x v="0"/>
    <s v="Phones"/>
    <s v="Product 33"/>
    <n v="4667.41"/>
    <n v="5"/>
    <n v="0.03"/>
    <n v="529.16"/>
    <x v="2"/>
    <s v="Medium"/>
  </r>
  <r>
    <s v="ORD0005"/>
    <d v="2015-11-10T00:00:00"/>
    <s v="10/18/2015"/>
    <s v="CUST5111"/>
    <s v="Customer 5"/>
    <x v="0"/>
    <x v="3"/>
    <s v="Illinois"/>
    <s v="Miami"/>
    <x v="0"/>
    <s v="Binders"/>
    <s v="Product 38"/>
    <n v="3014.29"/>
    <n v="7"/>
    <n v="0.18"/>
    <n v="909.5"/>
    <x v="3"/>
    <s v="Medium"/>
  </r>
  <r>
    <s v="ORD0006"/>
    <d v="2014-09-06T00:00:00"/>
    <s v="6/14/2014"/>
    <s v="CUST1687"/>
    <s v="Customer 6"/>
    <x v="2"/>
    <x v="0"/>
    <s v="Texas"/>
    <s v="Los Angeles"/>
    <x v="1"/>
    <s v="Binders"/>
    <s v="Product 29"/>
    <n v="3383.51"/>
    <n v="1"/>
    <n v="0.2"/>
    <n v="232.2"/>
    <x v="2"/>
    <s v="Critical"/>
  </r>
  <r>
    <s v="ORD0007"/>
    <d v="2014-09-06T00:00:00"/>
    <s v="6/14/2014"/>
    <s v="CUST1727"/>
    <s v="Customer 7"/>
    <x v="0"/>
    <x v="2"/>
    <s v="Texas"/>
    <s v="Houston"/>
    <x v="0"/>
    <s v="Tables"/>
    <s v="Product 9"/>
    <n v="540.88"/>
    <n v="2"/>
    <n v="0.24"/>
    <n v="54.89"/>
    <x v="3"/>
    <s v="High"/>
  </r>
  <r>
    <s v="ORD0008"/>
    <d v="2014-09-06T00:00:00"/>
    <s v="6/14/2014"/>
    <s v="CUST6857"/>
    <s v="Customer 8"/>
    <x v="2"/>
    <x v="1"/>
    <s v="Texas"/>
    <s v="Los Angeles"/>
    <x v="0"/>
    <s v="Storage"/>
    <s v="Product 41"/>
    <n v="774.16"/>
    <n v="9"/>
    <n v="0.3"/>
    <n v="194.42"/>
    <x v="1"/>
    <s v="Low"/>
  </r>
  <r>
    <s v="ORD0009"/>
    <d v="2014-09-06T00:00:00"/>
    <s v="6/14/2014"/>
    <s v="CUST8060"/>
    <s v="Customer 9"/>
    <x v="1"/>
    <x v="0"/>
    <s v="California"/>
    <s v="Miami"/>
    <x v="0"/>
    <s v="Binders"/>
    <s v="Product 40"/>
    <n v="1537.65"/>
    <n v="2"/>
    <n v="0.22"/>
    <n v="524.72"/>
    <x v="2"/>
    <s v="Critical"/>
  </r>
  <r>
    <s v="ORD0010"/>
    <d v="2014-09-06T00:00:00"/>
    <s v="6/14/2014"/>
    <s v="CUST2544"/>
    <s v="Customer 10"/>
    <x v="2"/>
    <x v="1"/>
    <s v="Florida"/>
    <s v="Chicago"/>
    <x v="1"/>
    <s v="Chairs"/>
    <s v="Product 16"/>
    <n v="1226.7"/>
    <n v="4"/>
    <n v="0.01"/>
    <n v="383.95"/>
    <x v="2"/>
    <s v="Critical"/>
  </r>
  <r>
    <s v="ORD0011"/>
    <d v="2014-09-06T00:00:00"/>
    <s v="6/14/2014"/>
    <s v="CUST6531"/>
    <s v="Customer 11"/>
    <x v="2"/>
    <x v="0"/>
    <s v="New York"/>
    <s v="Los Angeles"/>
    <x v="1"/>
    <s v="Phones"/>
    <s v="Product 1"/>
    <n v="1694.48"/>
    <n v="9"/>
    <n v="0.14"/>
    <n v="398.56"/>
    <x v="0"/>
    <s v="Critical"/>
  </r>
  <r>
    <s v="ORD0012"/>
    <d v="2014-09-06T00:00:00"/>
    <s v="6/14/2014"/>
    <s v="CUST2388"/>
    <s v="Customer 12"/>
    <x v="1"/>
    <x v="0"/>
    <s v="California"/>
    <s v="Los Angeles"/>
    <x v="0"/>
    <s v="Tables"/>
    <s v="Product 41"/>
    <n v="3812.16"/>
    <n v="1"/>
    <n v="0.24"/>
    <n v="266.46"/>
    <x v="4"/>
    <s v="Critical"/>
  </r>
  <r>
    <s v="ORD0013"/>
    <s v="4/15/2017"/>
    <s v="4/20/2017"/>
    <s v="CUST3069"/>
    <s v="Customer 13"/>
    <x v="0"/>
    <x v="2"/>
    <s v="Texas"/>
    <s v="Chicago"/>
    <x v="0"/>
    <s v="Tables"/>
    <s v="Product 47"/>
    <n v="2842.49"/>
    <n v="1"/>
    <n v="0.11"/>
    <n v="925.85"/>
    <x v="3"/>
    <s v="Medium"/>
  </r>
  <r>
    <s v="ORD0014"/>
    <d v="2016-05-12T00:00:00"/>
    <d v="2016-10-12T00:00:00"/>
    <s v="CUST7889"/>
    <s v="Customer 14"/>
    <x v="2"/>
    <x v="2"/>
    <s v="California"/>
    <s v="Houston"/>
    <x v="2"/>
    <s v="Chairs"/>
    <s v="Product 18"/>
    <n v="492.65"/>
    <n v="4"/>
    <n v="0.12"/>
    <n v="115.59"/>
    <x v="2"/>
    <s v="High"/>
  </r>
  <r>
    <s v="ORD0015"/>
    <s v="11/22/2015"/>
    <s v="11/26/2015"/>
    <s v="CUST3482"/>
    <s v="Customer 15"/>
    <x v="0"/>
    <x v="0"/>
    <s v="Illinois"/>
    <s v="New York City"/>
    <x v="2"/>
    <s v="Phones"/>
    <s v="Product 31"/>
    <n v="3811.3"/>
    <n v="9"/>
    <n v="0.22"/>
    <n v="583.88"/>
    <x v="4"/>
    <s v="Critical"/>
  </r>
  <r>
    <s v="ORD0016"/>
    <s v="11/22/2015"/>
    <s v="11/26/2015"/>
    <s v="CUST5457"/>
    <s v="Customer 16"/>
    <x v="0"/>
    <x v="2"/>
    <s v="Florida"/>
    <s v="Los Angeles"/>
    <x v="1"/>
    <s v="Chairs"/>
    <s v="Product 28"/>
    <n v="527.84"/>
    <n v="7"/>
    <n v="0.08"/>
    <n v="90.63"/>
    <x v="3"/>
    <s v="Medium"/>
  </r>
  <r>
    <s v="ORD0017"/>
    <d v="2014-11-11T00:00:00"/>
    <s v="11/18/2014"/>
    <s v="CUST5255"/>
    <s v="Customer 17"/>
    <x v="1"/>
    <x v="2"/>
    <s v="California"/>
    <s v="Houston"/>
    <x v="2"/>
    <s v="Binders"/>
    <s v="Product 33"/>
    <n v="188.72"/>
    <n v="2"/>
    <n v="0.07000000000000001"/>
    <n v="47.45"/>
    <x v="0"/>
    <s v="Low"/>
  </r>
  <r>
    <s v="ORD0018"/>
    <s v="5/13/2014"/>
    <s v="5/15/2014"/>
    <s v="CUST5480"/>
    <s v="Customer 18"/>
    <x v="2"/>
    <x v="2"/>
    <s v="New York"/>
    <s v="Miami"/>
    <x v="2"/>
    <s v="Binders"/>
    <s v="Product 39"/>
    <n v="1493.51"/>
    <n v="6"/>
    <n v="0.07000000000000001"/>
    <n v="151.04"/>
    <x v="1"/>
    <s v="Low"/>
  </r>
  <r>
    <s v="ORD0019"/>
    <s v="8/27/2014"/>
    <d v="2014-01-09T00:00:00"/>
    <s v="CUST9417"/>
    <s v="Customer 19"/>
    <x v="0"/>
    <x v="0"/>
    <s v="Illinois"/>
    <s v="Chicago"/>
    <x v="1"/>
    <s v="Chairs"/>
    <s v="Product 49"/>
    <n v="3740.31"/>
    <n v="7"/>
    <n v="0.07000000000000001"/>
    <n v="625.38"/>
    <x v="4"/>
    <s v="High"/>
  </r>
  <r>
    <s v="ORD0020"/>
    <s v="8/27/2014"/>
    <d v="2014-01-09T00:00:00"/>
    <s v="CUST4184"/>
    <s v="Customer 20"/>
    <x v="0"/>
    <x v="1"/>
    <s v="New York"/>
    <s v="New York City"/>
    <x v="2"/>
    <s v="Chairs"/>
    <s v="Product 48"/>
    <n v="2966.79"/>
    <n v="8"/>
    <n v="0.14"/>
    <n v="195.03"/>
    <x v="1"/>
    <s v="Critical"/>
  </r>
  <r>
    <s v="ORD0021"/>
    <s v="8/27/2014"/>
    <d v="2014-01-09T00:00:00"/>
    <s v="CUST4487"/>
    <s v="Customer 21"/>
    <x v="2"/>
    <x v="1"/>
    <s v="Texas"/>
    <s v="Houston"/>
    <x v="1"/>
    <s v="Chairs"/>
    <s v="Product 29"/>
    <n v="785.48"/>
    <n v="8"/>
    <n v="0.06"/>
    <n v="60.65"/>
    <x v="2"/>
    <s v="Low"/>
  </r>
  <r>
    <s v="ORD0022"/>
    <d v="2016-09-12T00:00:00"/>
    <s v="12/13/2016"/>
    <s v="CUST1432"/>
    <s v="Customer 22"/>
    <x v="1"/>
    <x v="1"/>
    <s v="New York"/>
    <s v="Los Angeles"/>
    <x v="1"/>
    <s v="Binders"/>
    <s v="Product 13"/>
    <n v="1494.89"/>
    <n v="6"/>
    <n v="0.07000000000000001"/>
    <n v="419.46"/>
    <x v="2"/>
    <s v="Critical"/>
  </r>
  <r>
    <s v="ORD0023"/>
    <d v="2016-09-12T00:00:00"/>
    <s v="12/13/2016"/>
    <s v="CUST5762"/>
    <s v="Customer 23"/>
    <x v="0"/>
    <x v="0"/>
    <s v="Florida"/>
    <s v="Miami"/>
    <x v="1"/>
    <s v="Chairs"/>
    <s v="Product 44"/>
    <n v="3601.79"/>
    <n v="1"/>
    <n v="0.04"/>
    <n v="575.08"/>
    <x v="1"/>
    <s v="High"/>
  </r>
  <r>
    <s v="ORD0024"/>
    <s v="7/16/2017"/>
    <s v="7/18/2017"/>
    <s v="CUST2013"/>
    <s v="Customer 24"/>
    <x v="1"/>
    <x v="1"/>
    <s v="Texas"/>
    <s v="Chicago"/>
    <x v="1"/>
    <s v="Storage"/>
    <s v="Product 4"/>
    <n v="1018.33"/>
    <n v="7"/>
    <n v="0.16"/>
    <n v="120.02"/>
    <x v="0"/>
    <s v="Medium"/>
  </r>
  <r>
    <s v="ORD0025"/>
    <s v="9/25/2015"/>
    <s v="9/30/2015"/>
    <s v="CUST2537"/>
    <s v="Customer 25"/>
    <x v="0"/>
    <x v="2"/>
    <s v="Florida"/>
    <s v="Miami"/>
    <x v="2"/>
    <s v="Tables"/>
    <s v="Product 2"/>
    <n v="675.86"/>
    <n v="9"/>
    <n v="0.16"/>
    <n v="126.48"/>
    <x v="3"/>
    <s v="Low"/>
  </r>
  <r>
    <s v="ORD0026"/>
    <s v="1/16/2016"/>
    <s v="1/20/2016"/>
    <s v="CUST7672"/>
    <s v="Customer 26"/>
    <x v="0"/>
    <x v="2"/>
    <s v="Florida"/>
    <s v="Houston"/>
    <x v="0"/>
    <s v="Phones"/>
    <s v="Product 38"/>
    <n v="4932.39"/>
    <n v="3"/>
    <n v="0.11"/>
    <n v="363.93"/>
    <x v="2"/>
    <s v="High"/>
  </r>
  <r>
    <s v="ORD0027"/>
    <s v="1/16/2016"/>
    <s v="1/20/2016"/>
    <s v="CUST7871"/>
    <s v="Customer 27"/>
    <x v="1"/>
    <x v="1"/>
    <s v="Texas"/>
    <s v="Miami"/>
    <x v="0"/>
    <s v="Binders"/>
    <s v="Product 30"/>
    <n v="3156.11"/>
    <n v="6"/>
    <n v="0.08"/>
    <n v="482.15"/>
    <x v="3"/>
    <s v="Low"/>
  </r>
  <r>
    <s v="ORD0028"/>
    <s v="9/17/2015"/>
    <s v="9/21/2015"/>
    <s v="CUST3209"/>
    <s v="Customer 28"/>
    <x v="1"/>
    <x v="0"/>
    <s v="California"/>
    <s v="Houston"/>
    <x v="1"/>
    <s v="Phones"/>
    <s v="Product 30"/>
    <n v="586.53"/>
    <n v="5"/>
    <n v="0.24"/>
    <n v="109.15"/>
    <x v="1"/>
    <s v="Medium"/>
  </r>
  <r>
    <s v="ORD0029"/>
    <s v="9/17/2015"/>
    <s v="9/21/2015"/>
    <s v="CUST9516"/>
    <s v="Customer 29"/>
    <x v="2"/>
    <x v="0"/>
    <s v="California"/>
    <s v="Houston"/>
    <x v="1"/>
    <s v="Chairs"/>
    <s v="Product 41"/>
    <n v="1825.88"/>
    <n v="10"/>
    <n v="0.18"/>
    <n v="513.4299999999999"/>
    <x v="0"/>
    <s v="Critical"/>
  </r>
  <r>
    <s v="ORD0030"/>
    <s v="9/17/2015"/>
    <s v="9/21/2015"/>
    <s v="CUST6101"/>
    <s v="Customer 30"/>
    <x v="0"/>
    <x v="1"/>
    <s v="Texas"/>
    <s v="Miami"/>
    <x v="1"/>
    <s v="Phones"/>
    <s v="Product 24"/>
    <n v="4587.03"/>
    <n v="4"/>
    <n v="0.17"/>
    <n v="1198.45"/>
    <x v="1"/>
    <s v="Low"/>
  </r>
  <r>
    <s v="ORD0031"/>
    <s v="9/17/2015"/>
    <s v="9/21/2015"/>
    <s v="CUST7538"/>
    <s v="Customer 31"/>
    <x v="1"/>
    <x v="2"/>
    <s v="Texas"/>
    <s v="New York City"/>
    <x v="1"/>
    <s v="Storage"/>
    <s v="Product 17"/>
    <n v="4582.04"/>
    <n v="1"/>
    <n v="0.07000000000000001"/>
    <n v="701.3200000000001"/>
    <x v="2"/>
    <s v="Medium"/>
  </r>
  <r>
    <s v="ORD0032"/>
    <s v="9/17/2015"/>
    <s v="9/21/2015"/>
    <s v="CUST6262"/>
    <s v="Customer 32"/>
    <x v="1"/>
    <x v="1"/>
    <s v="Texas"/>
    <s v="Chicago"/>
    <x v="2"/>
    <s v="Phones"/>
    <s v="Product 41"/>
    <n v="3931.32"/>
    <n v="5"/>
    <n v="0.01"/>
    <n v="976.97"/>
    <x v="3"/>
    <s v="Medium"/>
  </r>
  <r>
    <s v="ORD0033"/>
    <s v="9/17/2015"/>
    <s v="9/21/2015"/>
    <s v="CUST2377"/>
    <s v="Customer 33"/>
    <x v="1"/>
    <x v="1"/>
    <s v="Texas"/>
    <s v="Los Angeles"/>
    <x v="0"/>
    <s v="Binders"/>
    <s v="Product 42"/>
    <n v="1172.6"/>
    <n v="9"/>
    <n v="0.21"/>
    <n v="165.23"/>
    <x v="1"/>
    <s v="High"/>
  </r>
  <r>
    <s v="ORD0034"/>
    <s v="9/17/2015"/>
    <s v="9/21/2015"/>
    <s v="CUST5504"/>
    <s v="Customer 34"/>
    <x v="1"/>
    <x v="0"/>
    <s v="New York"/>
    <s v="New York City"/>
    <x v="0"/>
    <s v="Tables"/>
    <s v="Product 3"/>
    <n v="949.13"/>
    <n v="2"/>
    <n v="0.26"/>
    <n v="115.77"/>
    <x v="1"/>
    <s v="Low"/>
  </r>
  <r>
    <s v="ORD0035"/>
    <s v="10/19/2017"/>
    <s v="10/23/2017"/>
    <s v="CUST1603"/>
    <s v="Customer 35"/>
    <x v="0"/>
    <x v="0"/>
    <s v="Texas"/>
    <s v="New York City"/>
    <x v="1"/>
    <s v="Phones"/>
    <s v="Product 43"/>
    <n v="1185.82"/>
    <n v="4"/>
    <n v="0.29"/>
    <n v="241.48"/>
    <x v="1"/>
    <s v="Critical"/>
  </r>
  <r>
    <s v="ORD0036"/>
    <d v="2016-08-12T00:00:00"/>
    <d v="2016-10-12T00:00:00"/>
    <s v="CUST9072"/>
    <s v="Customer 36"/>
    <x v="2"/>
    <x v="0"/>
    <s v="Florida"/>
    <s v="New York City"/>
    <x v="1"/>
    <s v="Phones"/>
    <s v="Product 7"/>
    <n v="3980.49"/>
    <n v="3"/>
    <n v="0.21"/>
    <n v="946.4400000000001"/>
    <x v="4"/>
    <s v="Critical"/>
  </r>
  <r>
    <s v="ORD0037"/>
    <d v="2016-08-12T00:00:00"/>
    <d v="2016-10-12T00:00:00"/>
    <s v="CUST5197"/>
    <s v="Customer 37"/>
    <x v="1"/>
    <x v="0"/>
    <s v="California"/>
    <s v="Houston"/>
    <x v="2"/>
    <s v="Tables"/>
    <s v="Product 25"/>
    <n v="2792.81"/>
    <n v="6"/>
    <n v="0.12"/>
    <n v="354.87"/>
    <x v="2"/>
    <s v="Medium"/>
  </r>
  <r>
    <s v="ORD0038"/>
    <s v="12/27/2015"/>
    <s v="12/31/2015"/>
    <s v="CUST6808"/>
    <s v="Customer 38"/>
    <x v="0"/>
    <x v="0"/>
    <s v="Florida"/>
    <s v="Chicago"/>
    <x v="2"/>
    <s v="Chairs"/>
    <s v="Product 15"/>
    <n v="1977.67"/>
    <n v="4"/>
    <n v="0.05"/>
    <n v="246.52"/>
    <x v="0"/>
    <s v="Medium"/>
  </r>
  <r>
    <s v="ORD0039"/>
    <s v="12/27/2015"/>
    <s v="12/31/2015"/>
    <s v="CUST8283"/>
    <s v="Customer 39"/>
    <x v="1"/>
    <x v="3"/>
    <s v="California"/>
    <s v="Miami"/>
    <x v="0"/>
    <s v="Storage"/>
    <s v="Product 25"/>
    <n v="97.55"/>
    <n v="10"/>
    <n v="0.24"/>
    <n v="8.1"/>
    <x v="2"/>
    <s v="Medium"/>
  </r>
  <r>
    <s v="ORD0040"/>
    <s v="12/27/2015"/>
    <s v="12/31/2015"/>
    <s v="CUST9796"/>
    <s v="Customer 40"/>
    <x v="2"/>
    <x v="2"/>
    <s v="Florida"/>
    <s v="Houston"/>
    <x v="0"/>
    <s v="Phones"/>
    <s v="Product 19"/>
    <n v="4420.72"/>
    <n v="1"/>
    <n v="0.12"/>
    <n v="508.5"/>
    <x v="2"/>
    <s v="High"/>
  </r>
  <r>
    <s v="ORD0041"/>
    <s v="12/27/2015"/>
    <s v="12/31/2015"/>
    <s v="CUST5838"/>
    <s v="Customer 41"/>
    <x v="2"/>
    <x v="1"/>
    <s v="Florida"/>
    <s v="Chicago"/>
    <x v="1"/>
    <s v="Phones"/>
    <s v="Product 32"/>
    <n v="3180.11"/>
    <n v="2"/>
    <n v="0.21"/>
    <n v="747.99"/>
    <x v="3"/>
    <s v="Critical"/>
  </r>
  <r>
    <s v="ORD0042"/>
    <d v="2017-10-09T00:00:00"/>
    <s v="9/15/2017"/>
    <s v="CUST4596"/>
    <s v="Customer 42"/>
    <x v="2"/>
    <x v="0"/>
    <s v="Florida"/>
    <s v="Chicago"/>
    <x v="0"/>
    <s v="Phones"/>
    <s v="Product 9"/>
    <n v="3064.85"/>
    <n v="4"/>
    <n v="0.26"/>
    <n v="277.75"/>
    <x v="4"/>
    <s v="Medium"/>
  </r>
  <r>
    <s v="ORD0043"/>
    <s v="7/17/2016"/>
    <s v="7/22/2016"/>
    <s v="CUST5113"/>
    <s v="Customer 43"/>
    <x v="2"/>
    <x v="1"/>
    <s v="Illinois"/>
    <s v="Houston"/>
    <x v="2"/>
    <s v="Phones"/>
    <s v="Product 10"/>
    <n v="3137.97"/>
    <n v="8"/>
    <n v="0.22"/>
    <n v="512.88"/>
    <x v="0"/>
    <s v="High"/>
  </r>
  <r>
    <s v="ORD0044"/>
    <s v="9/19/2017"/>
    <s v="9/23/2017"/>
    <s v="CUST4653"/>
    <s v="Customer 44"/>
    <x v="2"/>
    <x v="3"/>
    <s v="New York"/>
    <s v="Chicago"/>
    <x v="2"/>
    <s v="Phones"/>
    <s v="Product 9"/>
    <n v="1197.65"/>
    <n v="5"/>
    <n v="0.04"/>
    <n v="371.59"/>
    <x v="3"/>
    <s v="Medium"/>
  </r>
  <r>
    <s v="ORD0045"/>
    <d v="2016-11-03T00:00:00"/>
    <s v="3/13/2016"/>
    <s v="CUST1195"/>
    <s v="Customer 45"/>
    <x v="2"/>
    <x v="1"/>
    <s v="Florida"/>
    <s v="New York City"/>
    <x v="2"/>
    <s v="Phones"/>
    <s v="Product 31"/>
    <n v="1057.95"/>
    <n v="4"/>
    <n v="0.18"/>
    <n v="358.4"/>
    <x v="0"/>
    <s v="High"/>
  </r>
  <r>
    <s v="ORD0046"/>
    <d v="2016-11-03T00:00:00"/>
    <s v="3/13/2016"/>
    <s v="CUST6682"/>
    <s v="Customer 46"/>
    <x v="2"/>
    <x v="2"/>
    <s v="Illinois"/>
    <s v="Houston"/>
    <x v="0"/>
    <s v="Chairs"/>
    <s v="Product 24"/>
    <n v="802.9299999999999"/>
    <n v="5"/>
    <n v="0.02"/>
    <n v="88"/>
    <x v="3"/>
    <s v="Critical"/>
  </r>
  <r>
    <s v="ORD0047"/>
    <s v="10/20/2014"/>
    <s v="10/25/2014"/>
    <s v="CUST9557"/>
    <s v="Customer 47"/>
    <x v="1"/>
    <x v="3"/>
    <s v="New York"/>
    <s v="New York City"/>
    <x v="0"/>
    <s v="Chairs"/>
    <s v="Product 42"/>
    <n v="607.1900000000001"/>
    <n v="2"/>
    <n v="0.02"/>
    <n v="178.32"/>
    <x v="2"/>
    <s v="Low"/>
  </r>
  <r>
    <s v="ORD0048"/>
    <s v="6/20/2016"/>
    <s v="6/25/2016"/>
    <s v="CUST5362"/>
    <s v="Customer 48"/>
    <x v="2"/>
    <x v="2"/>
    <s v="Florida"/>
    <s v="Houston"/>
    <x v="0"/>
    <s v="Storage"/>
    <s v="Product 20"/>
    <n v="1520.37"/>
    <n v="10"/>
    <n v="0.07000000000000001"/>
    <n v="204.29"/>
    <x v="2"/>
    <s v="Critical"/>
  </r>
  <r>
    <s v="ORD0049"/>
    <s v="6/20/2016"/>
    <s v="6/25/2016"/>
    <s v="CUST2294"/>
    <s v="Customer 49"/>
    <x v="1"/>
    <x v="2"/>
    <s v="New York"/>
    <s v="Chicago"/>
    <x v="2"/>
    <s v="Tables"/>
    <s v="Product 24"/>
    <n v="3711.87"/>
    <n v="5"/>
    <n v="0.03"/>
    <n v="881.67"/>
    <x v="0"/>
    <s v="Medium"/>
  </r>
  <r>
    <s v="ORD0050"/>
    <s v="4/18/2015"/>
    <s v="4/22/2015"/>
    <s v="CUST7946"/>
    <s v="Customer 50"/>
    <x v="0"/>
    <x v="1"/>
    <s v="Florida"/>
    <s v="Miami"/>
    <x v="0"/>
    <s v="Chairs"/>
    <s v="Product 42"/>
    <n v="1695.91"/>
    <n v="4"/>
    <n v="0.2"/>
    <n v="150.83"/>
    <x v="3"/>
    <s v="Medium"/>
  </r>
  <r>
    <s v="ORD0051"/>
    <s v="4/18/2015"/>
    <s v="4/22/2015"/>
    <s v="CUST9380"/>
    <s v="Customer 51"/>
    <x v="0"/>
    <x v="2"/>
    <s v="California"/>
    <s v="Houston"/>
    <x v="0"/>
    <s v="Storage"/>
    <s v="Product 18"/>
    <n v="96.45999999999999"/>
    <n v="9"/>
    <n v="0.02"/>
    <n v="23.27"/>
    <x v="2"/>
    <s v="Low"/>
  </r>
  <r>
    <s v="ORD0052"/>
    <s v="4/18/2015"/>
    <s v="4/22/2015"/>
    <s v="CUST9208"/>
    <s v="Customer 52"/>
    <x v="2"/>
    <x v="1"/>
    <s v="New York"/>
    <s v="New York City"/>
    <x v="2"/>
    <s v="Storage"/>
    <s v="Product 35"/>
    <n v="4520.2"/>
    <n v="9"/>
    <n v="0.24"/>
    <n v="876.73"/>
    <x v="4"/>
    <s v="Low"/>
  </r>
  <r>
    <s v="ORD0053"/>
    <s v="4/18/2015"/>
    <s v="4/22/2015"/>
    <s v="CUST7328"/>
    <s v="Customer 53"/>
    <x v="2"/>
    <x v="1"/>
    <s v="California"/>
    <s v="Chicago"/>
    <x v="1"/>
    <s v="Chairs"/>
    <s v="Product 12"/>
    <n v="1652.39"/>
    <n v="10"/>
    <n v="0.15"/>
    <n v="482.56"/>
    <x v="4"/>
    <s v="Medium"/>
  </r>
  <r>
    <s v="ORD0054"/>
    <d v="2016-11-12T00:00:00"/>
    <s v="12/17/2016"/>
    <s v="CUST2719"/>
    <s v="Customer 54"/>
    <x v="0"/>
    <x v="1"/>
    <s v="California"/>
    <s v="Houston"/>
    <x v="1"/>
    <s v="Binders"/>
    <s v="Product 39"/>
    <n v="2122.73"/>
    <n v="10"/>
    <n v="0.22"/>
    <n v="618.67"/>
    <x v="1"/>
    <s v="Low"/>
  </r>
  <r>
    <s v="ORD0055"/>
    <d v="2016-11-12T00:00:00"/>
    <s v="12/17/2016"/>
    <s v="CUST5286"/>
    <s v="Customer 55"/>
    <x v="2"/>
    <x v="1"/>
    <s v="Florida"/>
    <s v="Chicago"/>
    <x v="2"/>
    <s v="Storage"/>
    <s v="Product 40"/>
    <n v="3624.16"/>
    <n v="3"/>
    <n v="0.21"/>
    <n v="424.71"/>
    <x v="2"/>
    <s v="Low"/>
  </r>
  <r>
    <s v="ORD0056"/>
    <s v="6/17/2016"/>
    <s v="6/18/2016"/>
    <s v="CUST6015"/>
    <s v="Customer 56"/>
    <x v="0"/>
    <x v="2"/>
    <s v="Illinois"/>
    <s v="New York City"/>
    <x v="0"/>
    <s v="Tables"/>
    <s v="Product 40"/>
    <n v="810.74"/>
    <n v="7"/>
    <n v="0.27"/>
    <n v="107.42"/>
    <x v="2"/>
    <s v="Medium"/>
  </r>
  <r>
    <s v="ORD0057"/>
    <s v="6/17/2016"/>
    <s v="6/18/2016"/>
    <s v="CUST9289"/>
    <s v="Customer 57"/>
    <x v="0"/>
    <x v="0"/>
    <s v="Florida"/>
    <s v="New York City"/>
    <x v="0"/>
    <s v="Chairs"/>
    <s v="Product 25"/>
    <n v="1894.58"/>
    <n v="5"/>
    <n v="0.03"/>
    <n v="408.53"/>
    <x v="3"/>
    <s v="Low"/>
  </r>
  <r>
    <s v="ORD0058"/>
    <s v="6/17/2016"/>
    <s v="6/18/2016"/>
    <s v="CUST2069"/>
    <s v="Customer 58"/>
    <x v="1"/>
    <x v="1"/>
    <s v="New York"/>
    <s v="Los Angeles"/>
    <x v="0"/>
    <s v="Binders"/>
    <s v="Product 13"/>
    <n v="2385.16"/>
    <n v="5"/>
    <n v="0.12"/>
    <n v="235.61"/>
    <x v="1"/>
    <s v="Critical"/>
  </r>
  <r>
    <s v="ORD0059"/>
    <s v="6/17/2016"/>
    <s v="6/18/2016"/>
    <s v="CUST3480"/>
    <s v="Customer 59"/>
    <x v="1"/>
    <x v="0"/>
    <s v="Florida"/>
    <s v="New York City"/>
    <x v="0"/>
    <s v="Storage"/>
    <s v="Product 34"/>
    <n v="2749.14"/>
    <n v="1"/>
    <n v="0.14"/>
    <n v="355.22"/>
    <x v="2"/>
    <s v="High"/>
  </r>
  <r>
    <s v="ORD0060"/>
    <s v="6/17/2016"/>
    <s v="6/18/2016"/>
    <s v="CUST6025"/>
    <s v="Customer 60"/>
    <x v="1"/>
    <x v="3"/>
    <s v="New York"/>
    <s v="Miami"/>
    <x v="2"/>
    <s v="Chairs"/>
    <s v="Product 28"/>
    <n v="532.27"/>
    <n v="8"/>
    <n v="0.1"/>
    <n v="142"/>
    <x v="3"/>
    <s v="Medium"/>
  </r>
  <r>
    <s v="ORD0061"/>
    <s v="6/17/2016"/>
    <s v="6/18/2016"/>
    <s v="CUST5993"/>
    <s v="Customer 61"/>
    <x v="2"/>
    <x v="1"/>
    <s v="Illinois"/>
    <s v="Houston"/>
    <x v="0"/>
    <s v="Storage"/>
    <s v="Product 27"/>
    <n v="2331.98"/>
    <n v="2"/>
    <n v="0.28"/>
    <n v="122.15"/>
    <x v="2"/>
    <s v="Critical"/>
  </r>
  <r>
    <s v="ORD0062"/>
    <s v="6/17/2016"/>
    <s v="6/18/2016"/>
    <s v="CUST5195"/>
    <s v="Customer 62"/>
    <x v="1"/>
    <x v="0"/>
    <s v="New York"/>
    <s v="Chicago"/>
    <x v="1"/>
    <s v="Phones"/>
    <s v="Product 16"/>
    <n v="3596.35"/>
    <n v="3"/>
    <n v="0.05"/>
    <n v="1169.87"/>
    <x v="1"/>
    <s v="High"/>
  </r>
  <r>
    <s v="ORD0063"/>
    <s v="11/24/2015"/>
    <s v="11/30/2015"/>
    <s v="CUST6882"/>
    <s v="Customer 63"/>
    <x v="2"/>
    <x v="0"/>
    <s v="Texas"/>
    <s v="Chicago"/>
    <x v="1"/>
    <s v="Chairs"/>
    <s v="Product 41"/>
    <n v="2720.31"/>
    <n v="10"/>
    <n v="0.28"/>
    <n v="407.58"/>
    <x v="1"/>
    <s v="Low"/>
  </r>
  <r>
    <s v="ORD0064"/>
    <s v="11/24/2015"/>
    <s v="11/30/2015"/>
    <s v="CUST2762"/>
    <s v="Customer 64"/>
    <x v="1"/>
    <x v="3"/>
    <s v="California"/>
    <s v="Chicago"/>
    <x v="0"/>
    <s v="Storage"/>
    <s v="Product 37"/>
    <n v="3507.21"/>
    <n v="8"/>
    <n v="0.18"/>
    <n v="700.39"/>
    <x v="0"/>
    <s v="Medium"/>
  </r>
  <r>
    <s v="ORD0065"/>
    <s v="11/24/2015"/>
    <s v="11/30/2015"/>
    <s v="CUST8707"/>
    <s v="Customer 65"/>
    <x v="1"/>
    <x v="0"/>
    <s v="New York"/>
    <s v="Chicago"/>
    <x v="2"/>
    <s v="Tables"/>
    <s v="Product 5"/>
    <n v="3624.61"/>
    <n v="10"/>
    <n v="0.1"/>
    <n v="986.08"/>
    <x v="4"/>
    <s v="Critical"/>
  </r>
  <r>
    <s v="ORD0066"/>
    <s v="11/24/2015"/>
    <s v="11/30/2015"/>
    <s v="CUST6718"/>
    <s v="Customer 66"/>
    <x v="1"/>
    <x v="3"/>
    <s v="California"/>
    <s v="New York City"/>
    <x v="2"/>
    <s v="Binders"/>
    <s v="Product 31"/>
    <n v="1020.32"/>
    <n v="9"/>
    <n v="0.13"/>
    <n v="87.36"/>
    <x v="4"/>
    <s v="Medium"/>
  </r>
  <r>
    <s v="ORD0067"/>
    <s v="4/30/2015"/>
    <d v="2015-05-05T00:00:00"/>
    <s v="CUST3424"/>
    <s v="Customer 67"/>
    <x v="1"/>
    <x v="2"/>
    <s v="California"/>
    <s v="New York City"/>
    <x v="2"/>
    <s v="Tables"/>
    <s v="Product 12"/>
    <n v="3427.9"/>
    <n v="10"/>
    <n v="0.1"/>
    <n v="216.15"/>
    <x v="1"/>
    <s v="Low"/>
  </r>
  <r>
    <s v="ORD0068"/>
    <d v="2014-05-12T00:00:00"/>
    <d v="2014-10-12T00:00:00"/>
    <s v="CUST7846"/>
    <s v="Customer 68"/>
    <x v="1"/>
    <x v="2"/>
    <s v="Texas"/>
    <s v="Houston"/>
    <x v="1"/>
    <s v="Chairs"/>
    <s v="Product 35"/>
    <n v="2861.94"/>
    <n v="10"/>
    <n v="0.11"/>
    <n v="832.55"/>
    <x v="3"/>
    <s v="Critical"/>
  </r>
  <r>
    <s v="ORD0069"/>
    <d v="2014-05-12T00:00:00"/>
    <d v="2014-10-12T00:00:00"/>
    <s v="CUST6997"/>
    <s v="Customer 69"/>
    <x v="1"/>
    <x v="2"/>
    <s v="Florida"/>
    <s v="Miami"/>
    <x v="2"/>
    <s v="Chairs"/>
    <s v="Product 28"/>
    <n v="895.71"/>
    <n v="9"/>
    <n v="0.24"/>
    <n v="133.59"/>
    <x v="3"/>
    <s v="Critical"/>
  </r>
  <r>
    <s v="ORD0070"/>
    <d v="2016-04-06T00:00:00"/>
    <d v="2016-06-06T00:00:00"/>
    <s v="CUST6218"/>
    <s v="Customer 70"/>
    <x v="1"/>
    <x v="3"/>
    <s v="Illinois"/>
    <s v="Chicago"/>
    <x v="1"/>
    <s v="Binders"/>
    <s v="Product 21"/>
    <n v="4828.21"/>
    <n v="7"/>
    <n v="0.16"/>
    <n v="835.22"/>
    <x v="3"/>
    <s v="High"/>
  </r>
  <r>
    <s v="ORD0071"/>
    <s v="9/18/2016"/>
    <s v="9/23/2016"/>
    <s v="CUST7170"/>
    <s v="Customer 71"/>
    <x v="1"/>
    <x v="2"/>
    <s v="Texas"/>
    <s v="Los Angeles"/>
    <x v="2"/>
    <s v="Phones"/>
    <s v="Product 27"/>
    <n v="4214.49"/>
    <n v="5"/>
    <n v="0.02"/>
    <n v="444.03"/>
    <x v="0"/>
    <s v="Low"/>
  </r>
  <r>
    <s v="ORD0072"/>
    <s v="9/14/2017"/>
    <s v="9/17/2017"/>
    <s v="CUST9997"/>
    <s v="Customer 72"/>
    <x v="2"/>
    <x v="2"/>
    <s v="New York"/>
    <s v="Los Angeles"/>
    <x v="2"/>
    <s v="Phones"/>
    <s v="Product 43"/>
    <n v="1247.26"/>
    <n v="1"/>
    <n v="0"/>
    <n v="112.48"/>
    <x v="4"/>
    <s v="Medium"/>
  </r>
  <r>
    <s v="ORD0073"/>
    <s v="4/26/2015"/>
    <d v="2015-02-05T00:00:00"/>
    <s v="CUST3363"/>
    <s v="Customer 73"/>
    <x v="1"/>
    <x v="2"/>
    <s v="Florida"/>
    <s v="Miami"/>
    <x v="1"/>
    <s v="Tables"/>
    <s v="Product 31"/>
    <n v="1072.54"/>
    <n v="3"/>
    <n v="0.1"/>
    <n v="159.71"/>
    <x v="3"/>
    <s v="Medium"/>
  </r>
  <r>
    <s v="ORD0074"/>
    <s v="4/26/2015"/>
    <d v="2015-02-05T00:00:00"/>
    <s v="CUST1540"/>
    <s v="Customer 74"/>
    <x v="2"/>
    <x v="2"/>
    <s v="New York"/>
    <s v="Chicago"/>
    <x v="0"/>
    <s v="Phones"/>
    <s v="Product 35"/>
    <n v="2499.04"/>
    <n v="8"/>
    <n v="0.07000000000000001"/>
    <n v="578.1799999999999"/>
    <x v="3"/>
    <s v="Critical"/>
  </r>
  <r>
    <s v="ORD0075"/>
    <s v="4/26/2015"/>
    <d v="2015-02-05T00:00:00"/>
    <s v="CUST2661"/>
    <s v="Customer 75"/>
    <x v="1"/>
    <x v="3"/>
    <s v="Texas"/>
    <s v="Houston"/>
    <x v="0"/>
    <s v="Tables"/>
    <s v="Product 39"/>
    <n v="4867.28"/>
    <n v="4"/>
    <n v="0.3"/>
    <n v="897.35"/>
    <x v="4"/>
    <s v="Critical"/>
  </r>
  <r>
    <s v="ORD0076"/>
    <d v="2017-09-12T00:00:00"/>
    <d v="2017-11-12T00:00:00"/>
    <s v="CUST8386"/>
    <s v="Customer 76"/>
    <x v="1"/>
    <x v="1"/>
    <s v="Illinois"/>
    <s v="New York City"/>
    <x v="1"/>
    <s v="Chairs"/>
    <s v="Product 15"/>
    <n v="2755.11"/>
    <n v="6"/>
    <n v="0.15"/>
    <n v="868.72"/>
    <x v="0"/>
    <s v="Medium"/>
  </r>
  <r>
    <s v="ORD0077"/>
    <d v="2017-09-12T00:00:00"/>
    <d v="2017-11-12T00:00:00"/>
    <s v="CUST7894"/>
    <s v="Customer 77"/>
    <x v="0"/>
    <x v="0"/>
    <s v="New York"/>
    <s v="Chicago"/>
    <x v="1"/>
    <s v="Chairs"/>
    <s v="Product 39"/>
    <n v="3598.23"/>
    <n v="3"/>
    <n v="0.06"/>
    <n v="913.4"/>
    <x v="1"/>
    <s v="Critical"/>
  </r>
  <r>
    <s v="ORD0078"/>
    <d v="2017-09-12T00:00:00"/>
    <d v="2017-11-12T00:00:00"/>
    <s v="CUST9951"/>
    <s v="Customer 78"/>
    <x v="1"/>
    <x v="2"/>
    <s v="Illinois"/>
    <s v="Houston"/>
    <x v="1"/>
    <s v="Phones"/>
    <s v="Product 48"/>
    <n v="1092.54"/>
    <n v="6"/>
    <n v="0.24"/>
    <n v="172.65"/>
    <x v="2"/>
    <s v="High"/>
  </r>
  <r>
    <s v="ORD0079"/>
    <s v="11/26/2014"/>
    <d v="2014-01-12T00:00:00"/>
    <s v="CUST5637"/>
    <s v="Customer 79"/>
    <x v="0"/>
    <x v="3"/>
    <s v="Florida"/>
    <s v="Miami"/>
    <x v="1"/>
    <s v="Storage"/>
    <s v="Product 11"/>
    <n v="1147.02"/>
    <n v="5"/>
    <n v="0.08"/>
    <n v="198.17"/>
    <x v="0"/>
    <s v="High"/>
  </r>
  <r>
    <s v="ORD0080"/>
    <d v="2016-12-06T00:00:00"/>
    <s v="6/15/2016"/>
    <s v="CUST4065"/>
    <s v="Customer 80"/>
    <x v="1"/>
    <x v="3"/>
    <s v="Florida"/>
    <s v="Chicago"/>
    <x v="0"/>
    <s v="Tables"/>
    <s v="Product 40"/>
    <n v="123.4"/>
    <n v="10"/>
    <n v="0.21"/>
    <n v="14.16"/>
    <x v="1"/>
    <s v="Critical"/>
  </r>
  <r>
    <s v="ORD0081"/>
    <d v="2016-12-06T00:00:00"/>
    <s v="6/15/2016"/>
    <s v="CUST5326"/>
    <s v="Customer 81"/>
    <x v="2"/>
    <x v="1"/>
    <s v="California"/>
    <s v="Houston"/>
    <x v="2"/>
    <s v="Binders"/>
    <s v="Product 32"/>
    <n v="2099.71"/>
    <n v="4"/>
    <n v="0.02"/>
    <n v="236.14"/>
    <x v="1"/>
    <s v="High"/>
  </r>
  <r>
    <s v="ORD0082"/>
    <d v="2014-12-10T00:00:00"/>
    <s v="10/16/2014"/>
    <s v="CUST7970"/>
    <s v="Customer 82"/>
    <x v="0"/>
    <x v="1"/>
    <s v="Illinois"/>
    <s v="Miami"/>
    <x v="1"/>
    <s v="Binders"/>
    <s v="Product 8"/>
    <n v="2917.1"/>
    <n v="7"/>
    <n v="0.17"/>
    <n v="281.5"/>
    <x v="1"/>
    <s v="Low"/>
  </r>
  <r>
    <s v="ORD0083"/>
    <d v="2014-12-10T00:00:00"/>
    <s v="10/16/2014"/>
    <s v="CUST9958"/>
    <s v="Customer 83"/>
    <x v="2"/>
    <x v="3"/>
    <s v="Illinois"/>
    <s v="Chicago"/>
    <x v="1"/>
    <s v="Storage"/>
    <s v="Product 33"/>
    <n v="2485.47"/>
    <n v="8"/>
    <n v="0.1"/>
    <n v="469.6"/>
    <x v="1"/>
    <s v="Low"/>
  </r>
  <r>
    <s v="ORD0084"/>
    <d v="2015-03-09T00:00:00"/>
    <d v="2015-08-09T00:00:00"/>
    <s v="CUST7806"/>
    <s v="Customer 84"/>
    <x v="0"/>
    <x v="1"/>
    <s v="California"/>
    <s v="Houston"/>
    <x v="2"/>
    <s v="Phones"/>
    <s v="Product 16"/>
    <n v="864.84"/>
    <n v="1"/>
    <n v="0.25"/>
    <n v="83.12"/>
    <x v="3"/>
    <s v="Critical"/>
  </r>
  <r>
    <s v="ORD0085"/>
    <s v="11/13/2017"/>
    <s v="11/16/2017"/>
    <s v="CUST7298"/>
    <s v="Customer 85"/>
    <x v="1"/>
    <x v="2"/>
    <s v="Florida"/>
    <s v="Los Angeles"/>
    <x v="2"/>
    <s v="Phones"/>
    <s v="Product 29"/>
    <n v="4149.61"/>
    <n v="4"/>
    <n v="0.08"/>
    <n v="875.16"/>
    <x v="0"/>
    <s v="Medium"/>
  </r>
  <r>
    <s v="ORD0086"/>
    <s v="5/28/2017"/>
    <s v="5/30/2017"/>
    <s v="CUST7635"/>
    <s v="Customer 86"/>
    <x v="2"/>
    <x v="2"/>
    <s v="New York"/>
    <s v="Miami"/>
    <x v="2"/>
    <s v="Binders"/>
    <s v="Product 26"/>
    <n v="1831.24"/>
    <n v="3"/>
    <n v="0.28"/>
    <n v="120.76"/>
    <x v="2"/>
    <s v="High"/>
  </r>
  <r>
    <s v="ORD0087"/>
    <s v="10/26/2017"/>
    <d v="2017-02-11T00:00:00"/>
    <s v="CUST7580"/>
    <s v="Customer 87"/>
    <x v="2"/>
    <x v="3"/>
    <s v="New York"/>
    <s v="Chicago"/>
    <x v="0"/>
    <s v="Chairs"/>
    <s v="Product 26"/>
    <n v="4702.96"/>
    <n v="2"/>
    <n v="0.01"/>
    <n v="714.59"/>
    <x v="1"/>
    <s v="Low"/>
  </r>
  <r>
    <s v="ORD0088"/>
    <s v="10/26/2017"/>
    <d v="2017-02-11T00:00:00"/>
    <s v="CUST2411"/>
    <s v="Customer 88"/>
    <x v="1"/>
    <x v="0"/>
    <s v="California"/>
    <s v="Los Angeles"/>
    <x v="2"/>
    <s v="Phones"/>
    <s v="Product 37"/>
    <n v="895.84"/>
    <n v="6"/>
    <n v="0.12"/>
    <n v="157.34"/>
    <x v="2"/>
    <s v="High"/>
  </r>
  <r>
    <s v="ORD0089"/>
    <d v="2016-05-04T00:00:00"/>
    <d v="2016-10-04T00:00:00"/>
    <s v="CUST8873"/>
    <s v="Customer 89"/>
    <x v="0"/>
    <x v="1"/>
    <s v="New York"/>
    <s v="Miami"/>
    <x v="2"/>
    <s v="Chairs"/>
    <s v="Product 48"/>
    <n v="1918.93"/>
    <n v="9"/>
    <n v="0.11"/>
    <n v="338.3"/>
    <x v="3"/>
    <s v="Low"/>
  </r>
  <r>
    <s v="ORD0090"/>
    <s v="9/17/2016"/>
    <s v="9/22/2016"/>
    <s v="CUST9301"/>
    <s v="Customer 90"/>
    <x v="0"/>
    <x v="1"/>
    <s v="Florida"/>
    <s v="Houston"/>
    <x v="0"/>
    <s v="Storage"/>
    <s v="Product 50"/>
    <n v="1953.71"/>
    <n v="1"/>
    <n v="0.26"/>
    <n v="680.05"/>
    <x v="0"/>
    <s v="Critical"/>
  </r>
  <r>
    <s v="ORD0091"/>
    <s v="9/17/2016"/>
    <s v="9/22/2016"/>
    <s v="CUST6850"/>
    <s v="Customer 91"/>
    <x v="1"/>
    <x v="3"/>
    <s v="Illinois"/>
    <s v="Houston"/>
    <x v="2"/>
    <s v="Phones"/>
    <s v="Product 19"/>
    <n v="3863.59"/>
    <n v="4"/>
    <n v="0.16"/>
    <n v="1157.47"/>
    <x v="4"/>
    <s v="Medium"/>
  </r>
  <r>
    <s v="ORD0092"/>
    <s v="9/17/2016"/>
    <s v="9/22/2016"/>
    <s v="CUST9796"/>
    <s v="Customer 92"/>
    <x v="0"/>
    <x v="3"/>
    <s v="Illinois"/>
    <s v="Miami"/>
    <x v="0"/>
    <s v="Storage"/>
    <s v="Product 34"/>
    <n v="2754.41"/>
    <n v="8"/>
    <n v="0.2"/>
    <n v="777.04"/>
    <x v="4"/>
    <s v="Low"/>
  </r>
  <r>
    <s v="ORD0093"/>
    <s v="1/31/2015"/>
    <d v="2015-05-02T00:00:00"/>
    <s v="CUST9072"/>
    <s v="Customer 93"/>
    <x v="0"/>
    <x v="0"/>
    <s v="New York"/>
    <s v="Houston"/>
    <x v="0"/>
    <s v="Tables"/>
    <s v="Product 27"/>
    <n v="1458.96"/>
    <n v="8"/>
    <n v="0.13"/>
    <n v="277.88"/>
    <x v="0"/>
    <s v="Critical"/>
  </r>
  <r>
    <s v="ORD0094"/>
    <s v="1/31/2015"/>
    <d v="2015-05-02T00:00:00"/>
    <s v="CUST9920"/>
    <s v="Customer 94"/>
    <x v="1"/>
    <x v="2"/>
    <s v="New York"/>
    <s v="Chicago"/>
    <x v="0"/>
    <s v="Phones"/>
    <s v="Product 18"/>
    <n v="3899.94"/>
    <n v="4"/>
    <n v="0.17"/>
    <n v="492.53"/>
    <x v="1"/>
    <s v="Low"/>
  </r>
  <r>
    <s v="ORD0095"/>
    <s v="1/31/2015"/>
    <d v="2015-05-02T00:00:00"/>
    <s v="CUST4573"/>
    <s v="Customer 95"/>
    <x v="0"/>
    <x v="3"/>
    <s v="Illinois"/>
    <s v="Chicago"/>
    <x v="0"/>
    <s v="Storage"/>
    <s v="Product 17"/>
    <n v="1863.66"/>
    <n v="9"/>
    <n v="0.27"/>
    <n v="431.31"/>
    <x v="2"/>
    <s v="Low"/>
  </r>
  <r>
    <s v="ORD0096"/>
    <d v="2017-06-11T00:00:00"/>
    <d v="2017-12-11T00:00:00"/>
    <s v="CUST9300"/>
    <s v="Customer 96"/>
    <x v="0"/>
    <x v="3"/>
    <s v="Texas"/>
    <s v="Chicago"/>
    <x v="2"/>
    <s v="Binders"/>
    <s v="Product 6"/>
    <n v="1067.43"/>
    <n v="8"/>
    <n v="0.11"/>
    <n v="139.09"/>
    <x v="1"/>
    <s v="High"/>
  </r>
  <r>
    <s v="ORD0097"/>
    <d v="2017-09-11T00:00:00"/>
    <d v="2017-11-11T00:00:00"/>
    <s v="CUST6455"/>
    <s v="Customer 97"/>
    <x v="2"/>
    <x v="1"/>
    <s v="Florida"/>
    <s v="Los Angeles"/>
    <x v="2"/>
    <s v="Storage"/>
    <s v="Product 4"/>
    <n v="3038.54"/>
    <n v="10"/>
    <n v="0.14"/>
    <n v="935.16"/>
    <x v="2"/>
    <s v="High"/>
  </r>
  <r>
    <s v="ORD0098"/>
    <s v="6/17/2017"/>
    <s v="6/20/2017"/>
    <s v="CUST6224"/>
    <s v="Customer 98"/>
    <x v="1"/>
    <x v="3"/>
    <s v="Florida"/>
    <s v="Los Angeles"/>
    <x v="2"/>
    <s v="Tables"/>
    <s v="Product 4"/>
    <n v="4402.57"/>
    <n v="2"/>
    <n v="0.14"/>
    <n v="1388.61"/>
    <x v="4"/>
    <s v="High"/>
  </r>
  <r>
    <s v="ORD0099"/>
    <d v="2016-06-09T00:00:00"/>
    <d v="2016-11-09T00:00:00"/>
    <s v="CUST2668"/>
    <s v="Customer 99"/>
    <x v="1"/>
    <x v="2"/>
    <s v="Illinois"/>
    <s v="Houston"/>
    <x v="0"/>
    <s v="Tables"/>
    <s v="Product 32"/>
    <n v="4931.09"/>
    <n v="3"/>
    <n v="0.2"/>
    <n v="1589.75"/>
    <x v="3"/>
    <s v="High"/>
  </r>
  <r>
    <s v="ORD0100"/>
    <s v="8/29/2016"/>
    <d v="2016-02-09T00:00:00"/>
    <s v="CUST9069"/>
    <s v="Customer 100"/>
    <x v="1"/>
    <x v="3"/>
    <s v="Illinois"/>
    <s v="Houston"/>
    <x v="1"/>
    <s v="Binders"/>
    <s v="Product 16"/>
    <n v="1028.25"/>
    <n v="6"/>
    <n v="0.28"/>
    <n v="211.85"/>
    <x v="2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6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D3:E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3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A19:B25" firstHeaderRow="1" firstDataRow="1" firstDataCol="1"/>
  <pivotFields count="1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sd="0" x="0"/>
        <item sd="0" x="2"/>
        <item sd="0" x="3"/>
        <item sd="0" x="4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7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iscount" fld="14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9" cacheId="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L6:M51" firstHeaderRow="1" firstDataRow="1" firstDataCol="1"/>
  <pivotFields count="18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10"/>
        <item x="31"/>
        <item x="40"/>
        <item x="34"/>
        <item x="17"/>
        <item x="28"/>
        <item x="9"/>
        <item x="23"/>
        <item x="12"/>
        <item x="29"/>
        <item x="20"/>
        <item x="32"/>
        <item x="39"/>
        <item x="22"/>
        <item x="27"/>
        <item x="1"/>
        <item x="36"/>
        <item x="13"/>
        <item x="5"/>
        <item x="0"/>
        <item x="21"/>
        <item x="2"/>
        <item x="30"/>
        <item x="3"/>
        <item x="35"/>
        <item x="33"/>
        <item x="37"/>
        <item x="4"/>
        <item x="14"/>
        <item x="19"/>
        <item x="8"/>
        <item x="7"/>
        <item x="24"/>
        <item x="25"/>
        <item x="18"/>
        <item x="11"/>
        <item x="16"/>
        <item x="15"/>
        <item x="38"/>
        <item x="42"/>
        <item x="43"/>
        <item x="26"/>
        <item x="41"/>
        <item x="6"/>
        <item t="default"/>
      </items>
    </pivotField>
    <pivotField dataField="1" showAll="0"/>
    <pivotField showAll="0"/>
    <pivotField showAll="0"/>
    <pivotField showAll="0"/>
    <pivotField showAll="0">
      <items count="6">
        <item sd="0" x="3"/>
        <item sd="0" x="0"/>
        <item sd="0" x="2"/>
        <item sd="0" x="4"/>
        <item sd="0" x="1"/>
        <item t="default"/>
      </items>
    </pivotField>
    <pivotField showAll="0"/>
  </pivotFields>
  <rowFields count="1">
    <field x="1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Sales" fld="12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1" type="button" dataOnly="0" labelOnly="1" outline="0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7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I6:J12" firstHeaderRow="1" firstDataRow="1" firstDataCol="1"/>
  <pivotFields count="1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sd="0" x="3"/>
        <item sd="0" x="0"/>
        <item sd="0" x="2"/>
        <item sd="0" x="4"/>
        <item sd="0" x="1"/>
        <item t="default"/>
      </items>
    </pivotField>
    <pivotField showAll="0"/>
  </pivotFields>
  <rowFields count="2">
    <field x="16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15" subtotal="average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6" type="button" dataOnly="0" labelOnly="1" outline="0" fieldPosition="0"/>
    </format>
    <format dxfId="26">
      <pivotArea dataOnly="0" labelOnly="1" fieldPosition="0">
        <references count="1">
          <reference field="16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/>
    </format>
    <format>
      <pivotArea collapsedLevelsAreSubtotals="1" fieldPosition="0">
        <references count="1">
          <reference field="16" count="1">
            <x v="0"/>
          </reference>
        </references>
      </pivotArea>
    </format>
    <format>
      <pivotArea collapsedLevelsAreSubtotals="1" fieldPosition="0">
        <references count="1">
          <reference field="16" count="1">
            <x v="1"/>
          </reference>
        </references>
      </pivotArea>
    </format>
    <format>
      <pivotArea collapsedLevelsAreSubtotals="1" fieldPosition="0">
        <references count="1">
          <reference field="16" count="1">
            <x v="2"/>
          </reference>
        </references>
      </pivotArea>
    </format>
    <format>
      <pivotArea collapsedLevelsAreSubtotals="1" fieldPosition="0">
        <references count="1">
          <reference field="16" count="1">
            <x v="3"/>
          </reference>
        </references>
      </pivotArea>
    </format>
    <format>
      <pivotArea collapsedLevelsAreSubtotals="1" fieldPosition="0">
        <references count="1">
          <reference field="16" count="1">
            <x v="4"/>
          </reference>
        </references>
      </pivotArea>
    </format>
    <format>
      <pivotArea dataOnly="0" labelOnly="1" fieldPosition="0">
        <references count="1">
          <reference field="16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20" cacheId="2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D10:G16" firstHeaderRow="0" firstDataRow="1" firstDataCol="1"/>
  <pivotFields count="1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4"/>
        <item sd="0" x="1"/>
        <item sd="0" x="3"/>
        <item sd="0"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2">
    <field x="8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0" baseItem="0"/>
    <dataField name="Sum of Discount" fld="14" baseField="0" baseItem="0"/>
    <dataField name="Sum of Quantity" fld="13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8" type="button" dataOnly="0" labelOnly="1" outline="0" fieldPosition="0"/>
    </format>
    <format dxfId="32">
      <pivotArea dataOnly="0" labelOnly="1" fieldPosition="0">
        <references count="1">
          <reference field="8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R101" totalsRowShown="0">
  <autoFilter ref="A1:R101" xr:uid="{00000000-0009-0000-0100-000001000000}"/>
  <tableColumns count="18">
    <tableColumn id="1" xr3:uid="{00000000-0010-0000-0000-000001000000}" name="Order_ID" dataDxfId="53"/>
    <tableColumn id="2" xr3:uid="{00000000-0010-0000-0000-000002000000}" name="Order_Date" dataDxfId="52"/>
    <tableColumn id="3" xr3:uid="{00000000-0010-0000-0000-000003000000}" name="Ship_Date" dataDxfId="51"/>
    <tableColumn id="4" xr3:uid="{00000000-0010-0000-0000-000004000000}" name="Customer_ID" dataDxfId="50"/>
    <tableColumn id="5" xr3:uid="{00000000-0010-0000-0000-000005000000}" name="Customer_Name" dataDxfId="49"/>
    <tableColumn id="6" xr3:uid="{00000000-0010-0000-0000-000006000000}" name="Segment" dataDxfId="48"/>
    <tableColumn id="7" xr3:uid="{00000000-0010-0000-0000-000007000000}" name="Region" dataDxfId="47"/>
    <tableColumn id="8" xr3:uid="{00000000-0010-0000-0000-000008000000}" name="State" dataDxfId="46"/>
    <tableColumn id="9" xr3:uid="{00000000-0010-0000-0000-000009000000}" name="City" dataDxfId="45"/>
    <tableColumn id="10" xr3:uid="{00000000-0010-0000-0000-00000A000000}" name="Category" dataDxfId="44"/>
    <tableColumn id="11" xr3:uid="{00000000-0010-0000-0000-00000B000000}" name="Sub_Category" dataDxfId="43"/>
    <tableColumn id="12" xr3:uid="{00000000-0010-0000-0000-00000C000000}" name="Product_Name" dataDxfId="42"/>
    <tableColumn id="13" xr3:uid="{00000000-0010-0000-0000-00000D000000}" name="Sales" dataDxfId="41"/>
    <tableColumn id="14" xr3:uid="{00000000-0010-0000-0000-00000E000000}" name="Quantity" dataDxfId="40"/>
    <tableColumn id="15" xr3:uid="{00000000-0010-0000-0000-00000F000000}" name="Discount" dataDxfId="39"/>
    <tableColumn id="16" xr3:uid="{00000000-0010-0000-0000-000010000000}" name="Profit" dataDxfId="38"/>
    <tableColumn id="17" xr3:uid="{00000000-0010-0000-0000-000011000000}" name="Salesperson" dataDxfId="37"/>
    <tableColumn id="18" xr3:uid="{00000000-0010-0000-0000-000012000000}" name="Order_Priority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3" displayName="Table33" ref="A1:R102" totalsRowShown="0" dataDxfId="72">
  <autoFilter ref="A1:R102" xr:uid="{00000000-0009-0000-0100-000002000000}"/>
  <tableColumns count="18">
    <tableColumn id="1" xr3:uid="{00000000-0010-0000-0100-000001000000}" name="Order_ID" dataDxfId="71"/>
    <tableColumn id="2" xr3:uid="{00000000-0010-0000-0100-000002000000}" name="Order Date" dataDxfId="70"/>
    <tableColumn id="3" xr3:uid="{00000000-0010-0000-0100-000003000000}" name="Ship_Date" dataDxfId="69"/>
    <tableColumn id="4" xr3:uid="{00000000-0010-0000-0100-000004000000}" name="Customer_ID" dataDxfId="68"/>
    <tableColumn id="5" xr3:uid="{00000000-0010-0000-0100-000005000000}" name="Customer_Name" dataDxfId="67"/>
    <tableColumn id="6" xr3:uid="{00000000-0010-0000-0100-000006000000}" name="Segment" dataDxfId="66"/>
    <tableColumn id="7" xr3:uid="{00000000-0010-0000-0100-000007000000}" name="Region" dataDxfId="65"/>
    <tableColumn id="8" xr3:uid="{00000000-0010-0000-0100-000008000000}" name="State" dataDxfId="64"/>
    <tableColumn id="9" xr3:uid="{00000000-0010-0000-0100-000009000000}" name="City" dataDxfId="63"/>
    <tableColumn id="10" xr3:uid="{00000000-0010-0000-0100-00000A000000}" name="Category" dataDxfId="62"/>
    <tableColumn id="11" xr3:uid="{00000000-0010-0000-0100-00000B000000}" name="Sub_Category" dataDxfId="61"/>
    <tableColumn id="12" xr3:uid="{00000000-0010-0000-0100-00000C000000}" name="Product_Name" dataDxfId="60"/>
    <tableColumn id="13" xr3:uid="{00000000-0010-0000-0100-00000D000000}" name="Sales" dataDxfId="59"/>
    <tableColumn id="14" xr3:uid="{00000000-0010-0000-0100-00000E000000}" name="Quantity" dataDxfId="58"/>
    <tableColumn id="15" xr3:uid="{00000000-0010-0000-0100-00000F000000}" name="Discount" dataDxfId="57"/>
    <tableColumn id="16" xr3:uid="{00000000-0010-0000-0100-000010000000}" name="Profit" dataDxfId="56"/>
    <tableColumn id="17" xr3:uid="{00000000-0010-0000-0100-000011000000}" name="Salesperson" dataDxfId="55"/>
    <tableColumn id="18" xr3:uid="{00000000-0010-0000-0100-000012000000}" name="Order_Priority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zoomScale="83" zoomScaleNormal="63" workbookViewId="0">
      <selection activeCell="H11" sqref="H11"/>
    </sheetView>
  </sheetViews>
  <sheetFormatPr defaultColWidth="9" defaultRowHeight="14.4"/>
  <cols>
    <col min="2" max="3" width="10.6640625" customWidth="1"/>
    <col min="4" max="4" width="12.6640625" customWidth="1"/>
    <col min="5" max="5" width="17.21875" customWidth="1"/>
    <col min="6" max="6" width="13.21875" customWidth="1"/>
    <col min="7" max="7" width="14.33203125" customWidth="1"/>
    <col min="8" max="8" width="14.77734375" customWidth="1"/>
    <col min="9" max="9" width="12.88671875" customWidth="1"/>
    <col min="10" max="10" width="13.44140625" customWidth="1"/>
    <col min="11" max="11" width="15" customWidth="1"/>
    <col min="12" max="12" width="16.21875" customWidth="1"/>
    <col min="13" max="13" width="14.88671875" customWidth="1"/>
    <col min="14" max="14" width="11.6640625" customWidth="1"/>
    <col min="15" max="16" width="13.109375" customWidth="1"/>
    <col min="17" max="17" width="15.88671875" customWidth="1"/>
    <col min="18" max="18" width="16.33203125" customWidth="1"/>
  </cols>
  <sheetData>
    <row r="1" spans="1:18" ht="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9" t="s">
        <v>18</v>
      </c>
      <c r="B2" s="12">
        <v>42593</v>
      </c>
      <c r="C2" s="12">
        <v>42685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 t="s">
        <v>27</v>
      </c>
      <c r="M2" s="9">
        <v>1001.58</v>
      </c>
      <c r="N2" s="9">
        <v>8</v>
      </c>
      <c r="O2" s="9">
        <v>0.12</v>
      </c>
      <c r="P2" s="9">
        <v>142.51</v>
      </c>
      <c r="Q2" s="9" t="s">
        <v>28</v>
      </c>
      <c r="R2" s="9" t="s">
        <v>29</v>
      </c>
    </row>
    <row r="3" spans="1:18">
      <c r="A3" s="9" t="s">
        <v>30</v>
      </c>
      <c r="B3" s="12">
        <v>42593</v>
      </c>
      <c r="C3" s="12">
        <v>42685</v>
      </c>
      <c r="D3" s="9" t="s">
        <v>31</v>
      </c>
      <c r="E3" s="9" t="s">
        <v>32</v>
      </c>
      <c r="F3" s="9" t="s">
        <v>21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26</v>
      </c>
      <c r="L3" s="9" t="s">
        <v>37</v>
      </c>
      <c r="M3" s="9">
        <v>4468.0600000000004</v>
      </c>
      <c r="N3" s="9">
        <v>1</v>
      </c>
      <c r="O3" s="9">
        <v>0.1</v>
      </c>
      <c r="P3" s="9">
        <v>250.04</v>
      </c>
      <c r="Q3" s="9" t="s">
        <v>28</v>
      </c>
      <c r="R3" s="9" t="s">
        <v>38</v>
      </c>
    </row>
    <row r="4" spans="1:18">
      <c r="A4" s="9" t="s">
        <v>39</v>
      </c>
      <c r="B4" s="12">
        <v>42710</v>
      </c>
      <c r="C4" s="13" t="s">
        <v>40</v>
      </c>
      <c r="D4" s="9" t="s">
        <v>41</v>
      </c>
      <c r="E4" s="9" t="s">
        <v>42</v>
      </c>
      <c r="F4" s="9" t="s">
        <v>43</v>
      </c>
      <c r="G4" s="9" t="s">
        <v>33</v>
      </c>
      <c r="H4" s="9" t="s">
        <v>44</v>
      </c>
      <c r="I4" s="9" t="s">
        <v>24</v>
      </c>
      <c r="J4" s="9" t="s">
        <v>36</v>
      </c>
      <c r="K4" s="9" t="s">
        <v>45</v>
      </c>
      <c r="L4" s="9" t="s">
        <v>46</v>
      </c>
      <c r="M4" s="9">
        <v>2842.6</v>
      </c>
      <c r="N4" s="9">
        <v>1</v>
      </c>
      <c r="O4" s="9">
        <v>0.24</v>
      </c>
      <c r="P4" s="9">
        <v>361.62</v>
      </c>
      <c r="Q4" s="9" t="s">
        <v>47</v>
      </c>
      <c r="R4" s="9" t="s">
        <v>48</v>
      </c>
    </row>
    <row r="5" spans="1:18">
      <c r="A5" s="9" t="s">
        <v>49</v>
      </c>
      <c r="B5" s="12">
        <v>42318</v>
      </c>
      <c r="C5" s="13" t="s">
        <v>50</v>
      </c>
      <c r="D5" s="9" t="s">
        <v>51</v>
      </c>
      <c r="E5" s="9" t="s">
        <v>52</v>
      </c>
      <c r="F5" s="9" t="s">
        <v>53</v>
      </c>
      <c r="G5" s="9" t="s">
        <v>54</v>
      </c>
      <c r="H5" s="9" t="s">
        <v>44</v>
      </c>
      <c r="I5" s="9" t="s">
        <v>55</v>
      </c>
      <c r="J5" s="9" t="s">
        <v>25</v>
      </c>
      <c r="K5" s="9" t="s">
        <v>56</v>
      </c>
      <c r="L5" s="9" t="s">
        <v>57</v>
      </c>
      <c r="M5" s="9">
        <v>4667.41</v>
      </c>
      <c r="N5" s="9">
        <v>5</v>
      </c>
      <c r="O5" s="9">
        <v>0.03</v>
      </c>
      <c r="P5" s="9">
        <v>529.16</v>
      </c>
      <c r="Q5" s="9" t="s">
        <v>58</v>
      </c>
      <c r="R5" s="9" t="s">
        <v>38</v>
      </c>
    </row>
    <row r="6" spans="1:18">
      <c r="A6" s="9" t="s">
        <v>59</v>
      </c>
      <c r="B6" s="12">
        <v>42318</v>
      </c>
      <c r="C6" s="13" t="s">
        <v>50</v>
      </c>
      <c r="D6" s="9" t="s">
        <v>60</v>
      </c>
      <c r="E6" s="9" t="s">
        <v>61</v>
      </c>
      <c r="F6" s="9" t="s">
        <v>21</v>
      </c>
      <c r="G6" s="9" t="s">
        <v>62</v>
      </c>
      <c r="H6" s="9" t="s">
        <v>63</v>
      </c>
      <c r="I6" s="9" t="s">
        <v>64</v>
      </c>
      <c r="J6" s="9" t="s">
        <v>25</v>
      </c>
      <c r="K6" s="9" t="s">
        <v>65</v>
      </c>
      <c r="L6" s="9" t="s">
        <v>66</v>
      </c>
      <c r="M6" s="9">
        <v>3014.29</v>
      </c>
      <c r="N6" s="9">
        <v>7</v>
      </c>
      <c r="O6" s="9">
        <v>0.18</v>
      </c>
      <c r="P6" s="9">
        <v>909.5</v>
      </c>
      <c r="Q6" s="9" t="s">
        <v>67</v>
      </c>
      <c r="R6" s="9" t="s">
        <v>38</v>
      </c>
    </row>
    <row r="7" spans="1:18">
      <c r="A7" s="9" t="s">
        <v>68</v>
      </c>
      <c r="B7" s="12">
        <v>41888</v>
      </c>
      <c r="C7" s="13" t="s">
        <v>69</v>
      </c>
      <c r="D7" s="9" t="s">
        <v>70</v>
      </c>
      <c r="E7" s="9" t="s">
        <v>71</v>
      </c>
      <c r="F7" s="9" t="s">
        <v>53</v>
      </c>
      <c r="G7" s="9" t="s">
        <v>22</v>
      </c>
      <c r="H7" s="9" t="s">
        <v>34</v>
      </c>
      <c r="I7" s="9" t="s">
        <v>35</v>
      </c>
      <c r="J7" s="9" t="s">
        <v>36</v>
      </c>
      <c r="K7" s="9" t="s">
        <v>65</v>
      </c>
      <c r="L7" s="9" t="s">
        <v>72</v>
      </c>
      <c r="M7" s="9">
        <v>3383.51</v>
      </c>
      <c r="N7" s="9">
        <v>1</v>
      </c>
      <c r="O7" s="9">
        <v>0.2</v>
      </c>
      <c r="P7" s="9">
        <v>232.2</v>
      </c>
      <c r="Q7" s="9" t="s">
        <v>58</v>
      </c>
      <c r="R7" s="9" t="s">
        <v>48</v>
      </c>
    </row>
    <row r="8" spans="1:18">
      <c r="A8" s="9" t="s">
        <v>73</v>
      </c>
      <c r="B8" s="12">
        <v>41888</v>
      </c>
      <c r="C8" s="13" t="s">
        <v>69</v>
      </c>
      <c r="D8" s="9" t="s">
        <v>74</v>
      </c>
      <c r="E8" s="9" t="s">
        <v>75</v>
      </c>
      <c r="F8" s="9" t="s">
        <v>21</v>
      </c>
      <c r="G8" s="9" t="s">
        <v>54</v>
      </c>
      <c r="H8" s="9" t="s">
        <v>34</v>
      </c>
      <c r="I8" s="9" t="s">
        <v>76</v>
      </c>
      <c r="J8" s="9" t="s">
        <v>25</v>
      </c>
      <c r="K8" s="9" t="s">
        <v>77</v>
      </c>
      <c r="L8" s="9" t="s">
        <v>78</v>
      </c>
      <c r="M8" s="9">
        <v>540.88</v>
      </c>
      <c r="N8" s="9">
        <v>2</v>
      </c>
      <c r="O8" s="9">
        <v>0.24</v>
      </c>
      <c r="P8" s="9">
        <v>54.89</v>
      </c>
      <c r="Q8" s="9" t="s">
        <v>67</v>
      </c>
      <c r="R8" s="9" t="s">
        <v>29</v>
      </c>
    </row>
    <row r="9" spans="1:18">
      <c r="A9" s="9" t="s">
        <v>79</v>
      </c>
      <c r="B9" s="12">
        <v>41888</v>
      </c>
      <c r="C9" s="13" t="s">
        <v>69</v>
      </c>
      <c r="D9" s="9" t="s">
        <v>80</v>
      </c>
      <c r="E9" s="9" t="s">
        <v>81</v>
      </c>
      <c r="F9" s="9" t="s">
        <v>53</v>
      </c>
      <c r="G9" s="9" t="s">
        <v>33</v>
      </c>
      <c r="H9" s="9" t="s">
        <v>34</v>
      </c>
      <c r="I9" s="9" t="s">
        <v>35</v>
      </c>
      <c r="J9" s="9" t="s">
        <v>25</v>
      </c>
      <c r="K9" s="9" t="s">
        <v>45</v>
      </c>
      <c r="L9" s="9" t="s">
        <v>82</v>
      </c>
      <c r="M9" s="9">
        <v>774.16</v>
      </c>
      <c r="N9" s="9">
        <v>9</v>
      </c>
      <c r="O9" s="9">
        <v>0.3</v>
      </c>
      <c r="P9" s="9">
        <v>194.42</v>
      </c>
      <c r="Q9" s="9" t="s">
        <v>47</v>
      </c>
      <c r="R9" s="9" t="s">
        <v>83</v>
      </c>
    </row>
    <row r="10" spans="1:18">
      <c r="A10" s="9" t="s">
        <v>84</v>
      </c>
      <c r="B10" s="12">
        <v>41888</v>
      </c>
      <c r="C10" s="13" t="s">
        <v>69</v>
      </c>
      <c r="D10" s="9" t="s">
        <v>85</v>
      </c>
      <c r="E10" s="9" t="s">
        <v>86</v>
      </c>
      <c r="F10" s="9" t="s">
        <v>43</v>
      </c>
      <c r="G10" s="9" t="s">
        <v>22</v>
      </c>
      <c r="H10" s="9" t="s">
        <v>23</v>
      </c>
      <c r="I10" s="9" t="s">
        <v>64</v>
      </c>
      <c r="J10" s="9" t="s">
        <v>25</v>
      </c>
      <c r="K10" s="9" t="s">
        <v>65</v>
      </c>
      <c r="L10" s="9" t="s">
        <v>87</v>
      </c>
      <c r="M10" s="9">
        <v>1537.65</v>
      </c>
      <c r="N10" s="9">
        <v>2</v>
      </c>
      <c r="O10" s="9">
        <v>0.22</v>
      </c>
      <c r="P10" s="9">
        <v>524.72</v>
      </c>
      <c r="Q10" s="9" t="s">
        <v>58</v>
      </c>
      <c r="R10" s="9" t="s">
        <v>48</v>
      </c>
    </row>
    <row r="11" spans="1:18">
      <c r="A11" s="9" t="s">
        <v>88</v>
      </c>
      <c r="B11" s="12">
        <v>41888</v>
      </c>
      <c r="C11" s="13" t="s">
        <v>69</v>
      </c>
      <c r="D11" s="9" t="s">
        <v>89</v>
      </c>
      <c r="E11" s="9" t="s">
        <v>90</v>
      </c>
      <c r="F11" s="9" t="s">
        <v>53</v>
      </c>
      <c r="G11" s="9" t="s">
        <v>33</v>
      </c>
      <c r="H11" s="9" t="s">
        <v>44</v>
      </c>
      <c r="I11" s="9" t="s">
        <v>55</v>
      </c>
      <c r="J11" s="9" t="s">
        <v>36</v>
      </c>
      <c r="K11" s="9" t="s">
        <v>26</v>
      </c>
      <c r="L11" s="9" t="s">
        <v>91</v>
      </c>
      <c r="M11" s="9">
        <v>1226.7</v>
      </c>
      <c r="N11" s="9">
        <v>4</v>
      </c>
      <c r="O11" s="9">
        <v>0.01</v>
      </c>
      <c r="P11" s="9">
        <v>383.95</v>
      </c>
      <c r="Q11" s="9" t="s">
        <v>58</v>
      </c>
      <c r="R11" s="9" t="s">
        <v>48</v>
      </c>
    </row>
    <row r="12" spans="1:18">
      <c r="A12" s="9" t="s">
        <v>92</v>
      </c>
      <c r="B12" s="12">
        <v>41888</v>
      </c>
      <c r="C12" s="13" t="s">
        <v>69</v>
      </c>
      <c r="D12" s="9" t="s">
        <v>93</v>
      </c>
      <c r="E12" s="9" t="s">
        <v>94</v>
      </c>
      <c r="F12" s="9" t="s">
        <v>53</v>
      </c>
      <c r="G12" s="9" t="s">
        <v>22</v>
      </c>
      <c r="H12" s="9" t="s">
        <v>95</v>
      </c>
      <c r="I12" s="9" t="s">
        <v>35</v>
      </c>
      <c r="J12" s="9" t="s">
        <v>36</v>
      </c>
      <c r="K12" s="9" t="s">
        <v>56</v>
      </c>
      <c r="L12" s="9" t="s">
        <v>96</v>
      </c>
      <c r="M12" s="9">
        <v>1694.48</v>
      </c>
      <c r="N12" s="9">
        <v>9</v>
      </c>
      <c r="O12" s="9">
        <v>0.14000000000000001</v>
      </c>
      <c r="P12" s="9">
        <v>398.56</v>
      </c>
      <c r="Q12" s="9" t="s">
        <v>28</v>
      </c>
      <c r="R12" s="9" t="s">
        <v>48</v>
      </c>
    </row>
    <row r="13" spans="1:18">
      <c r="A13" s="9" t="s">
        <v>97</v>
      </c>
      <c r="B13" s="12">
        <v>41888</v>
      </c>
      <c r="C13" s="13" t="s">
        <v>69</v>
      </c>
      <c r="D13" s="9" t="s">
        <v>98</v>
      </c>
      <c r="E13" s="9" t="s">
        <v>99</v>
      </c>
      <c r="F13" s="9" t="s">
        <v>43</v>
      </c>
      <c r="G13" s="9" t="s">
        <v>22</v>
      </c>
      <c r="H13" s="9" t="s">
        <v>23</v>
      </c>
      <c r="I13" s="9" t="s">
        <v>35</v>
      </c>
      <c r="J13" s="9" t="s">
        <v>25</v>
      </c>
      <c r="K13" s="9" t="s">
        <v>77</v>
      </c>
      <c r="L13" s="9" t="s">
        <v>82</v>
      </c>
      <c r="M13" s="9">
        <v>3812.16</v>
      </c>
      <c r="N13" s="9">
        <v>1</v>
      </c>
      <c r="O13" s="9">
        <v>0.24</v>
      </c>
      <c r="P13" s="9">
        <v>266.45999999999998</v>
      </c>
      <c r="Q13" s="9" t="s">
        <v>100</v>
      </c>
      <c r="R13" s="9" t="s">
        <v>48</v>
      </c>
    </row>
    <row r="14" spans="1:18">
      <c r="A14" s="9" t="s">
        <v>101</v>
      </c>
      <c r="B14" s="13" t="s">
        <v>102</v>
      </c>
      <c r="C14" s="13" t="s">
        <v>103</v>
      </c>
      <c r="D14" s="9" t="s">
        <v>104</v>
      </c>
      <c r="E14" s="9" t="s">
        <v>105</v>
      </c>
      <c r="F14" s="9" t="s">
        <v>21</v>
      </c>
      <c r="G14" s="9" t="s">
        <v>54</v>
      </c>
      <c r="H14" s="9" t="s">
        <v>34</v>
      </c>
      <c r="I14" s="9" t="s">
        <v>55</v>
      </c>
      <c r="J14" s="9" t="s">
        <v>25</v>
      </c>
      <c r="K14" s="9" t="s">
        <v>77</v>
      </c>
      <c r="L14" s="9" t="s">
        <v>106</v>
      </c>
      <c r="M14" s="9">
        <v>2842.49</v>
      </c>
      <c r="N14" s="9">
        <v>1</v>
      </c>
      <c r="O14" s="9">
        <v>0.11</v>
      </c>
      <c r="P14" s="9">
        <v>925.85</v>
      </c>
      <c r="Q14" s="9" t="s">
        <v>67</v>
      </c>
      <c r="R14" s="9" t="s">
        <v>38</v>
      </c>
    </row>
    <row r="15" spans="1:18">
      <c r="A15" s="9" t="s">
        <v>107</v>
      </c>
      <c r="B15" s="12">
        <v>42502</v>
      </c>
      <c r="C15" s="12">
        <v>42655</v>
      </c>
      <c r="D15" s="9" t="s">
        <v>108</v>
      </c>
      <c r="E15" s="9" t="s">
        <v>109</v>
      </c>
      <c r="F15" s="9" t="s">
        <v>53</v>
      </c>
      <c r="G15" s="9" t="s">
        <v>54</v>
      </c>
      <c r="H15" s="9" t="s">
        <v>23</v>
      </c>
      <c r="I15" s="9" t="s">
        <v>76</v>
      </c>
      <c r="J15" s="9" t="s">
        <v>110</v>
      </c>
      <c r="K15" s="9" t="s">
        <v>26</v>
      </c>
      <c r="L15" s="9" t="s">
        <v>111</v>
      </c>
      <c r="M15" s="9">
        <v>492.65</v>
      </c>
      <c r="N15" s="9">
        <v>4</v>
      </c>
      <c r="O15" s="9">
        <v>0.12</v>
      </c>
      <c r="P15" s="9">
        <v>115.59</v>
      </c>
      <c r="Q15" s="9" t="s">
        <v>58</v>
      </c>
      <c r="R15" s="9" t="s">
        <v>29</v>
      </c>
    </row>
    <row r="16" spans="1:18">
      <c r="A16" s="9" t="s">
        <v>112</v>
      </c>
      <c r="B16" s="13" t="s">
        <v>113</v>
      </c>
      <c r="C16" s="13" t="s">
        <v>114</v>
      </c>
      <c r="D16" s="9" t="s">
        <v>115</v>
      </c>
      <c r="E16" s="9" t="s">
        <v>116</v>
      </c>
      <c r="F16" s="9" t="s">
        <v>21</v>
      </c>
      <c r="G16" s="9" t="s">
        <v>22</v>
      </c>
      <c r="H16" s="9" t="s">
        <v>63</v>
      </c>
      <c r="I16" s="9" t="s">
        <v>24</v>
      </c>
      <c r="J16" s="9" t="s">
        <v>110</v>
      </c>
      <c r="K16" s="9" t="s">
        <v>56</v>
      </c>
      <c r="L16" s="9" t="s">
        <v>46</v>
      </c>
      <c r="M16" s="9">
        <v>3811.3</v>
      </c>
      <c r="N16" s="9">
        <v>9</v>
      </c>
      <c r="O16" s="9">
        <v>0.22</v>
      </c>
      <c r="P16" s="9">
        <v>583.88</v>
      </c>
      <c r="Q16" s="9" t="s">
        <v>100</v>
      </c>
      <c r="R16" s="9" t="s">
        <v>48</v>
      </c>
    </row>
    <row r="17" spans="1:18">
      <c r="A17" s="9" t="s">
        <v>117</v>
      </c>
      <c r="B17" s="13" t="s">
        <v>113</v>
      </c>
      <c r="C17" s="13" t="s">
        <v>114</v>
      </c>
      <c r="D17" s="9" t="s">
        <v>118</v>
      </c>
      <c r="E17" s="9" t="s">
        <v>119</v>
      </c>
      <c r="F17" s="9" t="s">
        <v>21</v>
      </c>
      <c r="G17" s="9" t="s">
        <v>54</v>
      </c>
      <c r="H17" s="9" t="s">
        <v>44</v>
      </c>
      <c r="I17" s="9" t="s">
        <v>35</v>
      </c>
      <c r="J17" s="9" t="s">
        <v>36</v>
      </c>
      <c r="K17" s="9" t="s">
        <v>26</v>
      </c>
      <c r="L17" s="9" t="s">
        <v>120</v>
      </c>
      <c r="M17" s="9">
        <v>527.84</v>
      </c>
      <c r="N17" s="9">
        <v>7</v>
      </c>
      <c r="O17" s="9">
        <v>0.08</v>
      </c>
      <c r="P17" s="9">
        <v>90.63</v>
      </c>
      <c r="Q17" s="9" t="s">
        <v>67</v>
      </c>
      <c r="R17" s="9" t="s">
        <v>38</v>
      </c>
    </row>
    <row r="18" spans="1:18">
      <c r="A18" s="9" t="s">
        <v>121</v>
      </c>
      <c r="B18" s="12">
        <v>41954</v>
      </c>
      <c r="C18" s="13" t="s">
        <v>122</v>
      </c>
      <c r="D18" s="9" t="s">
        <v>123</v>
      </c>
      <c r="E18" s="9" t="s">
        <v>124</v>
      </c>
      <c r="F18" s="9" t="s">
        <v>43</v>
      </c>
      <c r="G18" s="9" t="s">
        <v>54</v>
      </c>
      <c r="H18" s="9" t="s">
        <v>23</v>
      </c>
      <c r="I18" s="9" t="s">
        <v>76</v>
      </c>
      <c r="J18" s="9" t="s">
        <v>110</v>
      </c>
      <c r="K18" s="9" t="s">
        <v>65</v>
      </c>
      <c r="L18" s="9" t="s">
        <v>57</v>
      </c>
      <c r="M18" s="9">
        <v>188.72</v>
      </c>
      <c r="N18" s="9">
        <v>2</v>
      </c>
      <c r="O18" s="9">
        <v>7.0000000000000007E-2</v>
      </c>
      <c r="P18" s="9">
        <v>47.45</v>
      </c>
      <c r="Q18" s="9" t="s">
        <v>28</v>
      </c>
      <c r="R18" s="9" t="s">
        <v>83</v>
      </c>
    </row>
    <row r="19" spans="1:18">
      <c r="A19" s="9" t="s">
        <v>125</v>
      </c>
      <c r="B19" s="13" t="s">
        <v>126</v>
      </c>
      <c r="C19" s="13" t="s">
        <v>127</v>
      </c>
      <c r="D19" s="9" t="s">
        <v>128</v>
      </c>
      <c r="E19" s="9" t="s">
        <v>129</v>
      </c>
      <c r="F19" s="9" t="s">
        <v>53</v>
      </c>
      <c r="G19" s="9" t="s">
        <v>54</v>
      </c>
      <c r="H19" s="9" t="s">
        <v>95</v>
      </c>
      <c r="I19" s="9" t="s">
        <v>64</v>
      </c>
      <c r="J19" s="9" t="s">
        <v>110</v>
      </c>
      <c r="K19" s="9" t="s">
        <v>65</v>
      </c>
      <c r="L19" s="9" t="s">
        <v>130</v>
      </c>
      <c r="M19" s="9">
        <v>1493.51</v>
      </c>
      <c r="N19" s="9">
        <v>6</v>
      </c>
      <c r="O19" s="9">
        <v>7.0000000000000007E-2</v>
      </c>
      <c r="P19" s="9">
        <v>151.04</v>
      </c>
      <c r="Q19" s="9" t="s">
        <v>47</v>
      </c>
      <c r="R19" s="9" t="s">
        <v>83</v>
      </c>
    </row>
    <row r="20" spans="1:18">
      <c r="A20" s="9" t="s">
        <v>131</v>
      </c>
      <c r="B20" s="13" t="s">
        <v>132</v>
      </c>
      <c r="C20" s="12">
        <v>41648</v>
      </c>
      <c r="D20" s="9" t="s">
        <v>133</v>
      </c>
      <c r="E20" s="9" t="s">
        <v>134</v>
      </c>
      <c r="F20" s="9" t="s">
        <v>21</v>
      </c>
      <c r="G20" s="9" t="s">
        <v>22</v>
      </c>
      <c r="H20" s="9" t="s">
        <v>63</v>
      </c>
      <c r="I20" s="9" t="s">
        <v>55</v>
      </c>
      <c r="J20" s="9" t="s">
        <v>36</v>
      </c>
      <c r="K20" s="9" t="s">
        <v>26</v>
      </c>
      <c r="L20" s="9" t="s">
        <v>135</v>
      </c>
      <c r="M20" s="9">
        <v>3740.31</v>
      </c>
      <c r="N20" s="9">
        <v>7</v>
      </c>
      <c r="O20" s="9">
        <v>7.0000000000000007E-2</v>
      </c>
      <c r="P20" s="9">
        <v>625.38</v>
      </c>
      <c r="Q20" s="9" t="s">
        <v>100</v>
      </c>
      <c r="R20" s="9" t="s">
        <v>29</v>
      </c>
    </row>
    <row r="21" spans="1:18">
      <c r="A21" s="9" t="s">
        <v>136</v>
      </c>
      <c r="B21" s="13" t="s">
        <v>132</v>
      </c>
      <c r="C21" s="12">
        <v>41648</v>
      </c>
      <c r="D21" s="9" t="s">
        <v>137</v>
      </c>
      <c r="E21" s="9" t="s">
        <v>138</v>
      </c>
      <c r="F21" s="9" t="s">
        <v>21</v>
      </c>
      <c r="G21" s="9" t="s">
        <v>33</v>
      </c>
      <c r="H21" s="9" t="s">
        <v>95</v>
      </c>
      <c r="I21" s="9" t="s">
        <v>24</v>
      </c>
      <c r="J21" s="9" t="s">
        <v>110</v>
      </c>
      <c r="K21" s="9" t="s">
        <v>26</v>
      </c>
      <c r="L21" s="9" t="s">
        <v>139</v>
      </c>
      <c r="M21" s="9">
        <v>2966.79</v>
      </c>
      <c r="N21" s="9">
        <v>8</v>
      </c>
      <c r="O21" s="9">
        <v>0.14000000000000001</v>
      </c>
      <c r="P21" s="9">
        <v>195.03</v>
      </c>
      <c r="Q21" s="9" t="s">
        <v>47</v>
      </c>
      <c r="R21" s="9" t="s">
        <v>48</v>
      </c>
    </row>
    <row r="22" spans="1:18">
      <c r="A22" s="9" t="s">
        <v>140</v>
      </c>
      <c r="B22" s="13" t="s">
        <v>132</v>
      </c>
      <c r="C22" s="12">
        <v>41648</v>
      </c>
      <c r="D22" s="9" t="s">
        <v>141</v>
      </c>
      <c r="E22" s="9" t="s">
        <v>142</v>
      </c>
      <c r="F22" s="9" t="s">
        <v>53</v>
      </c>
      <c r="G22" s="9" t="s">
        <v>33</v>
      </c>
      <c r="H22" s="9" t="s">
        <v>34</v>
      </c>
      <c r="I22" s="9" t="s">
        <v>76</v>
      </c>
      <c r="J22" s="9" t="s">
        <v>36</v>
      </c>
      <c r="K22" s="9" t="s">
        <v>26</v>
      </c>
      <c r="L22" s="9" t="s">
        <v>72</v>
      </c>
      <c r="M22" s="9">
        <v>785.48</v>
      </c>
      <c r="N22" s="9">
        <v>8</v>
      </c>
      <c r="O22" s="9">
        <v>0.06</v>
      </c>
      <c r="P22" s="9">
        <v>60.65</v>
      </c>
      <c r="Q22" s="9" t="s">
        <v>58</v>
      </c>
      <c r="R22" s="9" t="s">
        <v>83</v>
      </c>
    </row>
    <row r="23" spans="1:18">
      <c r="A23" s="9" t="s">
        <v>143</v>
      </c>
      <c r="B23" s="12">
        <v>42625</v>
      </c>
      <c r="C23" s="13" t="s">
        <v>144</v>
      </c>
      <c r="D23" s="9" t="s">
        <v>145</v>
      </c>
      <c r="E23" s="9" t="s">
        <v>146</v>
      </c>
      <c r="F23" s="9" t="s">
        <v>43</v>
      </c>
      <c r="G23" s="9" t="s">
        <v>33</v>
      </c>
      <c r="H23" s="9" t="s">
        <v>95</v>
      </c>
      <c r="I23" s="9" t="s">
        <v>35</v>
      </c>
      <c r="J23" s="9" t="s">
        <v>36</v>
      </c>
      <c r="K23" s="9" t="s">
        <v>65</v>
      </c>
      <c r="L23" s="9" t="s">
        <v>147</v>
      </c>
      <c r="M23" s="9">
        <v>1494.89</v>
      </c>
      <c r="N23" s="9">
        <v>6</v>
      </c>
      <c r="O23" s="9">
        <v>7.0000000000000007E-2</v>
      </c>
      <c r="P23" s="9">
        <v>419.46</v>
      </c>
      <c r="Q23" s="9" t="s">
        <v>58</v>
      </c>
      <c r="R23" s="9" t="s">
        <v>48</v>
      </c>
    </row>
    <row r="24" spans="1:18">
      <c r="A24" s="9" t="s">
        <v>148</v>
      </c>
      <c r="B24" s="12">
        <v>42625</v>
      </c>
      <c r="C24" s="13" t="s">
        <v>144</v>
      </c>
      <c r="D24" s="9" t="s">
        <v>149</v>
      </c>
      <c r="E24" s="9" t="s">
        <v>150</v>
      </c>
      <c r="F24" s="9" t="s">
        <v>21</v>
      </c>
      <c r="G24" s="9" t="s">
        <v>22</v>
      </c>
      <c r="H24" s="9" t="s">
        <v>44</v>
      </c>
      <c r="I24" s="9" t="s">
        <v>64</v>
      </c>
      <c r="J24" s="9" t="s">
        <v>36</v>
      </c>
      <c r="K24" s="9" t="s">
        <v>26</v>
      </c>
      <c r="L24" s="9" t="s">
        <v>151</v>
      </c>
      <c r="M24" s="9">
        <v>3601.79</v>
      </c>
      <c r="N24" s="9">
        <v>1</v>
      </c>
      <c r="O24" s="9">
        <v>0.04</v>
      </c>
      <c r="P24" s="9">
        <v>575.08000000000004</v>
      </c>
      <c r="Q24" s="9" t="s">
        <v>47</v>
      </c>
      <c r="R24" s="9" t="s">
        <v>29</v>
      </c>
    </row>
    <row r="25" spans="1:18">
      <c r="A25" s="9" t="s">
        <v>152</v>
      </c>
      <c r="B25" s="13" t="s">
        <v>153</v>
      </c>
      <c r="C25" s="13" t="s">
        <v>154</v>
      </c>
      <c r="D25" s="9" t="s">
        <v>155</v>
      </c>
      <c r="E25" s="9" t="s">
        <v>156</v>
      </c>
      <c r="F25" s="9" t="s">
        <v>43</v>
      </c>
      <c r="G25" s="9" t="s">
        <v>33</v>
      </c>
      <c r="H25" s="9" t="s">
        <v>34</v>
      </c>
      <c r="I25" s="9" t="s">
        <v>55</v>
      </c>
      <c r="J25" s="9" t="s">
        <v>36</v>
      </c>
      <c r="K25" s="9" t="s">
        <v>45</v>
      </c>
      <c r="L25" s="9" t="s">
        <v>157</v>
      </c>
      <c r="M25" s="9">
        <v>1018.33</v>
      </c>
      <c r="N25" s="9">
        <v>7</v>
      </c>
      <c r="O25" s="9">
        <v>0.16</v>
      </c>
      <c r="P25" s="9">
        <v>120.02</v>
      </c>
      <c r="Q25" s="9" t="s">
        <v>28</v>
      </c>
      <c r="R25" s="9" t="s">
        <v>38</v>
      </c>
    </row>
    <row r="26" spans="1:18">
      <c r="A26" s="9" t="s">
        <v>158</v>
      </c>
      <c r="B26" s="13" t="s">
        <v>159</v>
      </c>
      <c r="C26" s="13" t="s">
        <v>160</v>
      </c>
      <c r="D26" s="9" t="s">
        <v>161</v>
      </c>
      <c r="E26" s="9" t="s">
        <v>162</v>
      </c>
      <c r="F26" s="9" t="s">
        <v>21</v>
      </c>
      <c r="G26" s="9" t="s">
        <v>54</v>
      </c>
      <c r="H26" s="9" t="s">
        <v>44</v>
      </c>
      <c r="I26" s="9" t="s">
        <v>64</v>
      </c>
      <c r="J26" s="9" t="s">
        <v>110</v>
      </c>
      <c r="K26" s="9" t="s">
        <v>77</v>
      </c>
      <c r="L26" s="9" t="s">
        <v>163</v>
      </c>
      <c r="M26" s="9">
        <v>675.86</v>
      </c>
      <c r="N26" s="9">
        <v>9</v>
      </c>
      <c r="O26" s="9">
        <v>0.16</v>
      </c>
      <c r="P26" s="9">
        <v>126.48</v>
      </c>
      <c r="Q26" s="9" t="s">
        <v>67</v>
      </c>
      <c r="R26" s="9" t="s">
        <v>83</v>
      </c>
    </row>
    <row r="27" spans="1:18">
      <c r="A27" s="9" t="s">
        <v>164</v>
      </c>
      <c r="B27" s="13" t="s">
        <v>165</v>
      </c>
      <c r="C27" s="13" t="s">
        <v>166</v>
      </c>
      <c r="D27" s="9" t="s">
        <v>167</v>
      </c>
      <c r="E27" s="9" t="s">
        <v>168</v>
      </c>
      <c r="F27" s="9" t="s">
        <v>21</v>
      </c>
      <c r="G27" s="9" t="s">
        <v>54</v>
      </c>
      <c r="H27" s="9" t="s">
        <v>44</v>
      </c>
      <c r="I27" s="9" t="s">
        <v>76</v>
      </c>
      <c r="J27" s="9" t="s">
        <v>25</v>
      </c>
      <c r="K27" s="9" t="s">
        <v>56</v>
      </c>
      <c r="L27" s="9" t="s">
        <v>66</v>
      </c>
      <c r="M27" s="9">
        <v>4932.3900000000003</v>
      </c>
      <c r="N27" s="9">
        <v>3</v>
      </c>
      <c r="O27" s="9">
        <v>0.11</v>
      </c>
      <c r="P27" s="9">
        <v>363.93</v>
      </c>
      <c r="Q27" s="9" t="s">
        <v>58</v>
      </c>
      <c r="R27" s="9" t="s">
        <v>29</v>
      </c>
    </row>
    <row r="28" spans="1:18">
      <c r="A28" s="9" t="s">
        <v>169</v>
      </c>
      <c r="B28" s="13" t="s">
        <v>165</v>
      </c>
      <c r="C28" s="13" t="s">
        <v>166</v>
      </c>
      <c r="D28" s="9" t="s">
        <v>170</v>
      </c>
      <c r="E28" s="9" t="s">
        <v>171</v>
      </c>
      <c r="F28" s="9" t="s">
        <v>43</v>
      </c>
      <c r="G28" s="9" t="s">
        <v>33</v>
      </c>
      <c r="H28" s="9" t="s">
        <v>34</v>
      </c>
      <c r="I28" s="9" t="s">
        <v>64</v>
      </c>
      <c r="J28" s="9" t="s">
        <v>25</v>
      </c>
      <c r="K28" s="9" t="s">
        <v>65</v>
      </c>
      <c r="L28" s="9" t="s">
        <v>172</v>
      </c>
      <c r="M28" s="9">
        <v>3156.11</v>
      </c>
      <c r="N28" s="9">
        <v>6</v>
      </c>
      <c r="O28" s="9">
        <v>0.08</v>
      </c>
      <c r="P28" s="9">
        <v>482.15</v>
      </c>
      <c r="Q28" s="9" t="s">
        <v>67</v>
      </c>
      <c r="R28" s="9" t="s">
        <v>83</v>
      </c>
    </row>
    <row r="29" spans="1:18">
      <c r="A29" s="9" t="s">
        <v>173</v>
      </c>
      <c r="B29" s="13" t="s">
        <v>174</v>
      </c>
      <c r="C29" s="13" t="s">
        <v>175</v>
      </c>
      <c r="D29" s="9" t="s">
        <v>176</v>
      </c>
      <c r="E29" s="9" t="s">
        <v>177</v>
      </c>
      <c r="F29" s="9" t="s">
        <v>43</v>
      </c>
      <c r="G29" s="9" t="s">
        <v>22</v>
      </c>
      <c r="H29" s="9" t="s">
        <v>23</v>
      </c>
      <c r="I29" s="9" t="s">
        <v>76</v>
      </c>
      <c r="J29" s="9" t="s">
        <v>36</v>
      </c>
      <c r="K29" s="9" t="s">
        <v>56</v>
      </c>
      <c r="L29" s="9" t="s">
        <v>172</v>
      </c>
      <c r="M29" s="9">
        <v>586.53</v>
      </c>
      <c r="N29" s="9">
        <v>5</v>
      </c>
      <c r="O29" s="9">
        <v>0.24</v>
      </c>
      <c r="P29" s="9">
        <v>109.15</v>
      </c>
      <c r="Q29" s="9" t="s">
        <v>47</v>
      </c>
      <c r="R29" s="9" t="s">
        <v>38</v>
      </c>
    </row>
    <row r="30" spans="1:18">
      <c r="A30" s="9" t="s">
        <v>178</v>
      </c>
      <c r="B30" s="13" t="s">
        <v>174</v>
      </c>
      <c r="C30" s="13" t="s">
        <v>175</v>
      </c>
      <c r="D30" s="9" t="s">
        <v>179</v>
      </c>
      <c r="E30" s="9" t="s">
        <v>180</v>
      </c>
      <c r="F30" s="9" t="s">
        <v>53</v>
      </c>
      <c r="G30" s="9" t="s">
        <v>22</v>
      </c>
      <c r="H30" s="9" t="s">
        <v>23</v>
      </c>
      <c r="I30" s="9" t="s">
        <v>76</v>
      </c>
      <c r="J30" s="9" t="s">
        <v>36</v>
      </c>
      <c r="K30" s="9" t="s">
        <v>26</v>
      </c>
      <c r="L30" s="9" t="s">
        <v>82</v>
      </c>
      <c r="M30" s="9">
        <v>1825.88</v>
      </c>
      <c r="N30" s="9">
        <v>10</v>
      </c>
      <c r="O30" s="9">
        <v>0.18</v>
      </c>
      <c r="P30" s="9">
        <v>513.42999999999995</v>
      </c>
      <c r="Q30" s="9" t="s">
        <v>28</v>
      </c>
      <c r="R30" s="9" t="s">
        <v>48</v>
      </c>
    </row>
    <row r="31" spans="1:18">
      <c r="A31" s="9" t="s">
        <v>181</v>
      </c>
      <c r="B31" s="13" t="s">
        <v>174</v>
      </c>
      <c r="C31" s="13" t="s">
        <v>175</v>
      </c>
      <c r="D31" s="9" t="s">
        <v>182</v>
      </c>
      <c r="E31" s="9" t="s">
        <v>183</v>
      </c>
      <c r="F31" s="9" t="s">
        <v>21</v>
      </c>
      <c r="G31" s="9" t="s">
        <v>33</v>
      </c>
      <c r="H31" s="9" t="s">
        <v>34</v>
      </c>
      <c r="I31" s="9" t="s">
        <v>64</v>
      </c>
      <c r="J31" s="9" t="s">
        <v>36</v>
      </c>
      <c r="K31" s="9" t="s">
        <v>56</v>
      </c>
      <c r="L31" s="9" t="s">
        <v>184</v>
      </c>
      <c r="M31" s="9">
        <v>4587.03</v>
      </c>
      <c r="N31" s="9">
        <v>4</v>
      </c>
      <c r="O31" s="9">
        <v>0.17</v>
      </c>
      <c r="P31" s="9">
        <v>1198.45</v>
      </c>
      <c r="Q31" s="9" t="s">
        <v>47</v>
      </c>
      <c r="R31" s="9" t="s">
        <v>83</v>
      </c>
    </row>
    <row r="32" spans="1:18">
      <c r="A32" s="9" t="s">
        <v>185</v>
      </c>
      <c r="B32" s="13" t="s">
        <v>174</v>
      </c>
      <c r="C32" s="13" t="s">
        <v>175</v>
      </c>
      <c r="D32" s="9" t="s">
        <v>186</v>
      </c>
      <c r="E32" s="9" t="s">
        <v>187</v>
      </c>
      <c r="F32" s="9" t="s">
        <v>43</v>
      </c>
      <c r="G32" s="9" t="s">
        <v>54</v>
      </c>
      <c r="H32" s="9" t="s">
        <v>34</v>
      </c>
      <c r="I32" s="9" t="s">
        <v>24</v>
      </c>
      <c r="J32" s="9" t="s">
        <v>36</v>
      </c>
      <c r="K32" s="9" t="s">
        <v>45</v>
      </c>
      <c r="L32" s="9" t="s">
        <v>188</v>
      </c>
      <c r="M32" s="9">
        <v>4582.04</v>
      </c>
      <c r="N32" s="9">
        <v>1</v>
      </c>
      <c r="O32" s="9">
        <v>7.0000000000000007E-2</v>
      </c>
      <c r="P32" s="9">
        <v>701.32</v>
      </c>
      <c r="Q32" s="9" t="s">
        <v>58</v>
      </c>
      <c r="R32" s="9" t="s">
        <v>38</v>
      </c>
    </row>
    <row r="33" spans="1:18">
      <c r="A33" s="9" t="s">
        <v>189</v>
      </c>
      <c r="B33" s="13" t="s">
        <v>174</v>
      </c>
      <c r="C33" s="13" t="s">
        <v>175</v>
      </c>
      <c r="D33" s="9" t="s">
        <v>190</v>
      </c>
      <c r="E33" s="9" t="s">
        <v>191</v>
      </c>
      <c r="F33" s="9" t="s">
        <v>43</v>
      </c>
      <c r="G33" s="9" t="s">
        <v>33</v>
      </c>
      <c r="H33" s="9" t="s">
        <v>34</v>
      </c>
      <c r="I33" s="9" t="s">
        <v>55</v>
      </c>
      <c r="J33" s="9" t="s">
        <v>110</v>
      </c>
      <c r="K33" s="9" t="s">
        <v>56</v>
      </c>
      <c r="L33" s="9" t="s">
        <v>82</v>
      </c>
      <c r="M33" s="9">
        <v>3931.32</v>
      </c>
      <c r="N33" s="9">
        <v>5</v>
      </c>
      <c r="O33" s="9">
        <v>0.01</v>
      </c>
      <c r="P33" s="9">
        <v>976.97</v>
      </c>
      <c r="Q33" s="9" t="s">
        <v>67</v>
      </c>
      <c r="R33" s="9" t="s">
        <v>38</v>
      </c>
    </row>
    <row r="34" spans="1:18">
      <c r="A34" s="9" t="s">
        <v>192</v>
      </c>
      <c r="B34" s="13" t="s">
        <v>174</v>
      </c>
      <c r="C34" s="13" t="s">
        <v>175</v>
      </c>
      <c r="D34" s="9" t="s">
        <v>193</v>
      </c>
      <c r="E34" s="9" t="s">
        <v>194</v>
      </c>
      <c r="F34" s="9" t="s">
        <v>43</v>
      </c>
      <c r="G34" s="9" t="s">
        <v>33</v>
      </c>
      <c r="H34" s="9" t="s">
        <v>34</v>
      </c>
      <c r="I34" s="9" t="s">
        <v>35</v>
      </c>
      <c r="J34" s="9" t="s">
        <v>25</v>
      </c>
      <c r="K34" s="9" t="s">
        <v>65</v>
      </c>
      <c r="L34" s="9" t="s">
        <v>195</v>
      </c>
      <c r="M34" s="9">
        <v>1172.5999999999999</v>
      </c>
      <c r="N34" s="9">
        <v>9</v>
      </c>
      <c r="O34" s="9">
        <v>0.21</v>
      </c>
      <c r="P34" s="9">
        <v>165.23</v>
      </c>
      <c r="Q34" s="9" t="s">
        <v>47</v>
      </c>
      <c r="R34" s="9" t="s">
        <v>29</v>
      </c>
    </row>
    <row r="35" spans="1:18">
      <c r="A35" s="9" t="s">
        <v>196</v>
      </c>
      <c r="B35" s="13" t="s">
        <v>174</v>
      </c>
      <c r="C35" s="13" t="s">
        <v>175</v>
      </c>
      <c r="D35" s="9" t="s">
        <v>197</v>
      </c>
      <c r="E35" s="9" t="s">
        <v>198</v>
      </c>
      <c r="F35" s="9" t="s">
        <v>43</v>
      </c>
      <c r="G35" s="9" t="s">
        <v>22</v>
      </c>
      <c r="H35" s="9" t="s">
        <v>95</v>
      </c>
      <c r="I35" s="9" t="s">
        <v>24</v>
      </c>
      <c r="J35" s="9" t="s">
        <v>25</v>
      </c>
      <c r="K35" s="9" t="s">
        <v>77</v>
      </c>
      <c r="L35" s="9" t="s">
        <v>27</v>
      </c>
      <c r="M35" s="9">
        <v>949.13</v>
      </c>
      <c r="N35" s="9">
        <v>2</v>
      </c>
      <c r="O35" s="9">
        <v>0.26</v>
      </c>
      <c r="P35" s="9">
        <v>115.77</v>
      </c>
      <c r="Q35" s="9" t="s">
        <v>47</v>
      </c>
      <c r="R35" s="9" t="s">
        <v>83</v>
      </c>
    </row>
    <row r="36" spans="1:18">
      <c r="A36" s="9" t="s">
        <v>199</v>
      </c>
      <c r="B36" s="13" t="s">
        <v>200</v>
      </c>
      <c r="C36" s="13" t="s">
        <v>201</v>
      </c>
      <c r="D36" s="9" t="s">
        <v>202</v>
      </c>
      <c r="E36" s="9" t="s">
        <v>203</v>
      </c>
      <c r="F36" s="9" t="s">
        <v>21</v>
      </c>
      <c r="G36" s="9" t="s">
        <v>22</v>
      </c>
      <c r="H36" s="9" t="s">
        <v>34</v>
      </c>
      <c r="I36" s="9" t="s">
        <v>24</v>
      </c>
      <c r="J36" s="9" t="s">
        <v>36</v>
      </c>
      <c r="K36" s="9" t="s">
        <v>56</v>
      </c>
      <c r="L36" s="9" t="s">
        <v>204</v>
      </c>
      <c r="M36" s="9">
        <v>1185.82</v>
      </c>
      <c r="N36" s="9">
        <v>4</v>
      </c>
      <c r="O36" s="9">
        <v>0.28999999999999998</v>
      </c>
      <c r="P36" s="9">
        <v>241.48</v>
      </c>
      <c r="Q36" s="9" t="s">
        <v>47</v>
      </c>
      <c r="R36" s="9" t="s">
        <v>48</v>
      </c>
    </row>
    <row r="37" spans="1:18">
      <c r="A37" s="9" t="s">
        <v>205</v>
      </c>
      <c r="B37" s="12">
        <v>42594</v>
      </c>
      <c r="C37" s="12">
        <v>42655</v>
      </c>
      <c r="D37" s="9" t="s">
        <v>206</v>
      </c>
      <c r="E37" s="9" t="s">
        <v>207</v>
      </c>
      <c r="F37" s="9" t="s">
        <v>53</v>
      </c>
      <c r="G37" s="9" t="s">
        <v>22</v>
      </c>
      <c r="H37" s="9" t="s">
        <v>44</v>
      </c>
      <c r="I37" s="9" t="s">
        <v>24</v>
      </c>
      <c r="J37" s="9" t="s">
        <v>36</v>
      </c>
      <c r="K37" s="9" t="s">
        <v>56</v>
      </c>
      <c r="L37" s="9" t="s">
        <v>208</v>
      </c>
      <c r="M37" s="9">
        <v>3980.49</v>
      </c>
      <c r="N37" s="9">
        <v>3</v>
      </c>
      <c r="O37" s="9">
        <v>0.21</v>
      </c>
      <c r="P37" s="9">
        <v>946.44</v>
      </c>
      <c r="Q37" s="9" t="s">
        <v>100</v>
      </c>
      <c r="R37" s="9" t="s">
        <v>48</v>
      </c>
    </row>
    <row r="38" spans="1:18">
      <c r="A38" s="9" t="s">
        <v>209</v>
      </c>
      <c r="B38" s="12">
        <v>42594</v>
      </c>
      <c r="C38" s="12">
        <v>42655</v>
      </c>
      <c r="D38" s="9" t="s">
        <v>210</v>
      </c>
      <c r="E38" s="9" t="s">
        <v>211</v>
      </c>
      <c r="F38" s="9" t="s">
        <v>43</v>
      </c>
      <c r="G38" s="9" t="s">
        <v>22</v>
      </c>
      <c r="H38" s="9" t="s">
        <v>23</v>
      </c>
      <c r="I38" s="9" t="s">
        <v>76</v>
      </c>
      <c r="J38" s="9" t="s">
        <v>110</v>
      </c>
      <c r="K38" s="9" t="s">
        <v>77</v>
      </c>
      <c r="L38" s="9" t="s">
        <v>212</v>
      </c>
      <c r="M38" s="9">
        <v>2792.81</v>
      </c>
      <c r="N38" s="9">
        <v>6</v>
      </c>
      <c r="O38" s="9">
        <v>0.12</v>
      </c>
      <c r="P38" s="9">
        <v>354.87</v>
      </c>
      <c r="Q38" s="9" t="s">
        <v>58</v>
      </c>
      <c r="R38" s="9" t="s">
        <v>38</v>
      </c>
    </row>
    <row r="39" spans="1:18">
      <c r="A39" s="9" t="s">
        <v>213</v>
      </c>
      <c r="B39" s="13" t="s">
        <v>214</v>
      </c>
      <c r="C39" s="13" t="s">
        <v>215</v>
      </c>
      <c r="D39" s="9" t="s">
        <v>216</v>
      </c>
      <c r="E39" s="9" t="s">
        <v>217</v>
      </c>
      <c r="F39" s="9" t="s">
        <v>21</v>
      </c>
      <c r="G39" s="9" t="s">
        <v>22</v>
      </c>
      <c r="H39" s="9" t="s">
        <v>44</v>
      </c>
      <c r="I39" s="9" t="s">
        <v>55</v>
      </c>
      <c r="J39" s="9" t="s">
        <v>110</v>
      </c>
      <c r="K39" s="9" t="s">
        <v>26</v>
      </c>
      <c r="L39" s="9" t="s">
        <v>218</v>
      </c>
      <c r="M39" s="9">
        <v>1977.67</v>
      </c>
      <c r="N39" s="9">
        <v>4</v>
      </c>
      <c r="O39" s="9">
        <v>0.05</v>
      </c>
      <c r="P39" s="9">
        <v>246.52</v>
      </c>
      <c r="Q39" s="9" t="s">
        <v>28</v>
      </c>
      <c r="R39" s="9" t="s">
        <v>38</v>
      </c>
    </row>
    <row r="40" spans="1:18">
      <c r="A40" s="9" t="s">
        <v>219</v>
      </c>
      <c r="B40" s="13" t="s">
        <v>214</v>
      </c>
      <c r="C40" s="13" t="s">
        <v>215</v>
      </c>
      <c r="D40" s="9" t="s">
        <v>220</v>
      </c>
      <c r="E40" s="9" t="s">
        <v>221</v>
      </c>
      <c r="F40" s="9" t="s">
        <v>43</v>
      </c>
      <c r="G40" s="9" t="s">
        <v>62</v>
      </c>
      <c r="H40" s="9" t="s">
        <v>23</v>
      </c>
      <c r="I40" s="9" t="s">
        <v>64</v>
      </c>
      <c r="J40" s="9" t="s">
        <v>25</v>
      </c>
      <c r="K40" s="9" t="s">
        <v>45</v>
      </c>
      <c r="L40" s="9" t="s">
        <v>212</v>
      </c>
      <c r="M40" s="9">
        <v>97.55</v>
      </c>
      <c r="N40" s="9">
        <v>10</v>
      </c>
      <c r="O40" s="9">
        <v>0.24</v>
      </c>
      <c r="P40" s="9">
        <v>8.1</v>
      </c>
      <c r="Q40" s="9" t="s">
        <v>58</v>
      </c>
      <c r="R40" s="9" t="s">
        <v>38</v>
      </c>
    </row>
    <row r="41" spans="1:18">
      <c r="A41" s="9" t="s">
        <v>222</v>
      </c>
      <c r="B41" s="13" t="s">
        <v>214</v>
      </c>
      <c r="C41" s="13" t="s">
        <v>215</v>
      </c>
      <c r="D41" s="9" t="s">
        <v>223</v>
      </c>
      <c r="E41" s="9" t="s">
        <v>224</v>
      </c>
      <c r="F41" s="9" t="s">
        <v>53</v>
      </c>
      <c r="G41" s="9" t="s">
        <v>54</v>
      </c>
      <c r="H41" s="9" t="s">
        <v>44</v>
      </c>
      <c r="I41" s="9" t="s">
        <v>76</v>
      </c>
      <c r="J41" s="9" t="s">
        <v>25</v>
      </c>
      <c r="K41" s="9" t="s">
        <v>56</v>
      </c>
      <c r="L41" s="9" t="s">
        <v>225</v>
      </c>
      <c r="M41" s="9">
        <v>4420.72</v>
      </c>
      <c r="N41" s="9">
        <v>1</v>
      </c>
      <c r="O41" s="9">
        <v>0.12</v>
      </c>
      <c r="P41" s="9">
        <v>508.5</v>
      </c>
      <c r="Q41" s="9" t="s">
        <v>58</v>
      </c>
      <c r="R41" s="9" t="s">
        <v>29</v>
      </c>
    </row>
    <row r="42" spans="1:18">
      <c r="A42" s="9" t="s">
        <v>226</v>
      </c>
      <c r="B42" s="13" t="s">
        <v>214</v>
      </c>
      <c r="C42" s="13" t="s">
        <v>215</v>
      </c>
      <c r="D42" s="9" t="s">
        <v>227</v>
      </c>
      <c r="E42" s="9" t="s">
        <v>228</v>
      </c>
      <c r="F42" s="9" t="s">
        <v>53</v>
      </c>
      <c r="G42" s="9" t="s">
        <v>33</v>
      </c>
      <c r="H42" s="9" t="s">
        <v>44</v>
      </c>
      <c r="I42" s="9" t="s">
        <v>55</v>
      </c>
      <c r="J42" s="9" t="s">
        <v>36</v>
      </c>
      <c r="K42" s="9" t="s">
        <v>56</v>
      </c>
      <c r="L42" s="9" t="s">
        <v>229</v>
      </c>
      <c r="M42" s="9">
        <v>3180.11</v>
      </c>
      <c r="N42" s="9">
        <v>2</v>
      </c>
      <c r="O42" s="9">
        <v>0.21</v>
      </c>
      <c r="P42" s="9">
        <v>747.99</v>
      </c>
      <c r="Q42" s="9" t="s">
        <v>67</v>
      </c>
      <c r="R42" s="9" t="s">
        <v>48</v>
      </c>
    </row>
    <row r="43" spans="1:18">
      <c r="A43" s="9" t="s">
        <v>230</v>
      </c>
      <c r="B43" s="12">
        <v>43017</v>
      </c>
      <c r="C43" s="13" t="s">
        <v>231</v>
      </c>
      <c r="D43" s="9" t="s">
        <v>232</v>
      </c>
      <c r="E43" s="9" t="s">
        <v>233</v>
      </c>
      <c r="F43" s="9" t="s">
        <v>53</v>
      </c>
      <c r="G43" s="9" t="s">
        <v>22</v>
      </c>
      <c r="H43" s="9" t="s">
        <v>44</v>
      </c>
      <c r="I43" s="9" t="s">
        <v>55</v>
      </c>
      <c r="J43" s="9" t="s">
        <v>25</v>
      </c>
      <c r="K43" s="9" t="s">
        <v>56</v>
      </c>
      <c r="L43" s="9" t="s">
        <v>78</v>
      </c>
      <c r="M43" s="9">
        <v>3064.85</v>
      </c>
      <c r="N43" s="9">
        <v>4</v>
      </c>
      <c r="O43" s="9">
        <v>0.26</v>
      </c>
      <c r="P43" s="9">
        <v>277.75</v>
      </c>
      <c r="Q43" s="9" t="s">
        <v>100</v>
      </c>
      <c r="R43" s="9" t="s">
        <v>38</v>
      </c>
    </row>
    <row r="44" spans="1:18">
      <c r="A44" s="9" t="s">
        <v>234</v>
      </c>
      <c r="B44" s="13" t="s">
        <v>235</v>
      </c>
      <c r="C44" s="13" t="s">
        <v>236</v>
      </c>
      <c r="D44" s="9" t="s">
        <v>237</v>
      </c>
      <c r="E44" s="9" t="s">
        <v>238</v>
      </c>
      <c r="F44" s="9" t="s">
        <v>53</v>
      </c>
      <c r="G44" s="9" t="s">
        <v>33</v>
      </c>
      <c r="H44" s="9" t="s">
        <v>63</v>
      </c>
      <c r="I44" s="9" t="s">
        <v>76</v>
      </c>
      <c r="J44" s="9" t="s">
        <v>110</v>
      </c>
      <c r="K44" s="9" t="s">
        <v>56</v>
      </c>
      <c r="L44" s="9" t="s">
        <v>239</v>
      </c>
      <c r="M44" s="9">
        <v>3137.97</v>
      </c>
      <c r="N44" s="9">
        <v>8</v>
      </c>
      <c r="O44" s="9">
        <v>0.22</v>
      </c>
      <c r="P44" s="9">
        <v>512.88</v>
      </c>
      <c r="Q44" s="9" t="s">
        <v>28</v>
      </c>
      <c r="R44" s="9" t="s">
        <v>29</v>
      </c>
    </row>
    <row r="45" spans="1:18">
      <c r="A45" s="9" t="s">
        <v>240</v>
      </c>
      <c r="B45" s="13" t="s">
        <v>241</v>
      </c>
      <c r="C45" s="13" t="s">
        <v>242</v>
      </c>
      <c r="D45" s="9" t="s">
        <v>243</v>
      </c>
      <c r="E45" s="9" t="s">
        <v>244</v>
      </c>
      <c r="F45" s="9" t="s">
        <v>53</v>
      </c>
      <c r="G45" s="9" t="s">
        <v>62</v>
      </c>
      <c r="H45" s="9" t="s">
        <v>95</v>
      </c>
      <c r="I45" s="9" t="s">
        <v>55</v>
      </c>
      <c r="J45" s="9" t="s">
        <v>110</v>
      </c>
      <c r="K45" s="9" t="s">
        <v>56</v>
      </c>
      <c r="L45" s="9" t="s">
        <v>78</v>
      </c>
      <c r="M45" s="9">
        <v>1197.6500000000001</v>
      </c>
      <c r="N45" s="9">
        <v>5</v>
      </c>
      <c r="O45" s="9">
        <v>0.04</v>
      </c>
      <c r="P45" s="9">
        <v>371.59</v>
      </c>
      <c r="Q45" s="9" t="s">
        <v>67</v>
      </c>
      <c r="R45" s="9" t="s">
        <v>38</v>
      </c>
    </row>
    <row r="46" spans="1:18">
      <c r="A46" s="9" t="s">
        <v>245</v>
      </c>
      <c r="B46" s="12">
        <v>42677</v>
      </c>
      <c r="C46" s="13" t="s">
        <v>246</v>
      </c>
      <c r="D46" s="9" t="s">
        <v>247</v>
      </c>
      <c r="E46" s="9" t="s">
        <v>248</v>
      </c>
      <c r="F46" s="9" t="s">
        <v>53</v>
      </c>
      <c r="G46" s="9" t="s">
        <v>33</v>
      </c>
      <c r="H46" s="9" t="s">
        <v>44</v>
      </c>
      <c r="I46" s="9" t="s">
        <v>24</v>
      </c>
      <c r="J46" s="9" t="s">
        <v>110</v>
      </c>
      <c r="K46" s="9" t="s">
        <v>56</v>
      </c>
      <c r="L46" s="9" t="s">
        <v>46</v>
      </c>
      <c r="M46" s="9">
        <v>1057.95</v>
      </c>
      <c r="N46" s="9">
        <v>4</v>
      </c>
      <c r="O46" s="9">
        <v>0.18</v>
      </c>
      <c r="P46" s="9">
        <v>358.4</v>
      </c>
      <c r="Q46" s="9" t="s">
        <v>28</v>
      </c>
      <c r="R46" s="9" t="s">
        <v>29</v>
      </c>
    </row>
    <row r="47" spans="1:18">
      <c r="A47" s="9" t="s">
        <v>249</v>
      </c>
      <c r="B47" s="12">
        <v>42677</v>
      </c>
      <c r="C47" s="13" t="s">
        <v>246</v>
      </c>
      <c r="D47" s="9" t="s">
        <v>250</v>
      </c>
      <c r="E47" s="9" t="s">
        <v>251</v>
      </c>
      <c r="F47" s="9" t="s">
        <v>53</v>
      </c>
      <c r="G47" s="9" t="s">
        <v>54</v>
      </c>
      <c r="H47" s="9" t="s">
        <v>63</v>
      </c>
      <c r="I47" s="9" t="s">
        <v>76</v>
      </c>
      <c r="J47" s="9" t="s">
        <v>25</v>
      </c>
      <c r="K47" s="9" t="s">
        <v>26</v>
      </c>
      <c r="L47" s="9" t="s">
        <v>184</v>
      </c>
      <c r="M47" s="9">
        <v>802.93</v>
      </c>
      <c r="N47" s="9">
        <v>5</v>
      </c>
      <c r="O47" s="9">
        <v>0.02</v>
      </c>
      <c r="P47" s="9">
        <v>88</v>
      </c>
      <c r="Q47" s="9" t="s">
        <v>67</v>
      </c>
      <c r="R47" s="9" t="s">
        <v>48</v>
      </c>
    </row>
    <row r="48" spans="1:18">
      <c r="A48" s="9" t="s">
        <v>252</v>
      </c>
      <c r="B48" s="13" t="s">
        <v>253</v>
      </c>
      <c r="C48" s="13" t="s">
        <v>254</v>
      </c>
      <c r="D48" s="9" t="s">
        <v>255</v>
      </c>
      <c r="E48" s="9" t="s">
        <v>256</v>
      </c>
      <c r="F48" s="9" t="s">
        <v>43</v>
      </c>
      <c r="G48" s="9" t="s">
        <v>62</v>
      </c>
      <c r="H48" s="9" t="s">
        <v>95</v>
      </c>
      <c r="I48" s="9" t="s">
        <v>24</v>
      </c>
      <c r="J48" s="9" t="s">
        <v>25</v>
      </c>
      <c r="K48" s="9" t="s">
        <v>26</v>
      </c>
      <c r="L48" s="9" t="s">
        <v>195</v>
      </c>
      <c r="M48" s="9">
        <v>607.19000000000005</v>
      </c>
      <c r="N48" s="9">
        <v>2</v>
      </c>
      <c r="O48" s="9">
        <v>0.02</v>
      </c>
      <c r="P48" s="9">
        <v>178.32</v>
      </c>
      <c r="Q48" s="9" t="s">
        <v>58</v>
      </c>
      <c r="R48" s="9" t="s">
        <v>83</v>
      </c>
    </row>
    <row r="49" spans="1:18">
      <c r="A49" s="9" t="s">
        <v>257</v>
      </c>
      <c r="B49" s="13" t="s">
        <v>258</v>
      </c>
      <c r="C49" s="13" t="s">
        <v>259</v>
      </c>
      <c r="D49" s="9" t="s">
        <v>260</v>
      </c>
      <c r="E49" s="9" t="s">
        <v>261</v>
      </c>
      <c r="F49" s="9" t="s">
        <v>53</v>
      </c>
      <c r="G49" s="9" t="s">
        <v>54</v>
      </c>
      <c r="H49" s="9" t="s">
        <v>44</v>
      </c>
      <c r="I49" s="9" t="s">
        <v>76</v>
      </c>
      <c r="J49" s="9" t="s">
        <v>25</v>
      </c>
      <c r="K49" s="9" t="s">
        <v>45</v>
      </c>
      <c r="L49" s="9" t="s">
        <v>262</v>
      </c>
      <c r="M49" s="9">
        <v>1520.37</v>
      </c>
      <c r="N49" s="9">
        <v>10</v>
      </c>
      <c r="O49" s="9">
        <v>7.0000000000000007E-2</v>
      </c>
      <c r="P49" s="9">
        <v>204.29</v>
      </c>
      <c r="Q49" s="9" t="s">
        <v>58</v>
      </c>
      <c r="R49" s="9" t="s">
        <v>48</v>
      </c>
    </row>
    <row r="50" spans="1:18">
      <c r="A50" s="9" t="s">
        <v>263</v>
      </c>
      <c r="B50" s="13" t="s">
        <v>258</v>
      </c>
      <c r="C50" s="13" t="s">
        <v>259</v>
      </c>
      <c r="D50" s="9" t="s">
        <v>264</v>
      </c>
      <c r="E50" s="9" t="s">
        <v>265</v>
      </c>
      <c r="F50" s="9" t="s">
        <v>43</v>
      </c>
      <c r="G50" s="9" t="s">
        <v>54</v>
      </c>
      <c r="H50" s="9" t="s">
        <v>95</v>
      </c>
      <c r="I50" s="9" t="s">
        <v>55</v>
      </c>
      <c r="J50" s="9" t="s">
        <v>110</v>
      </c>
      <c r="K50" s="9" t="s">
        <v>77</v>
      </c>
      <c r="L50" s="9" t="s">
        <v>184</v>
      </c>
      <c r="M50" s="9">
        <v>3711.87</v>
      </c>
      <c r="N50" s="9">
        <v>5</v>
      </c>
      <c r="O50" s="9">
        <v>0.03</v>
      </c>
      <c r="P50" s="9">
        <v>881.67</v>
      </c>
      <c r="Q50" s="9" t="s">
        <v>28</v>
      </c>
      <c r="R50" s="9" t="s">
        <v>38</v>
      </c>
    </row>
    <row r="51" spans="1:18">
      <c r="A51" s="9" t="s">
        <v>266</v>
      </c>
      <c r="B51" s="13" t="s">
        <v>267</v>
      </c>
      <c r="C51" s="13" t="s">
        <v>268</v>
      </c>
      <c r="D51" s="9" t="s">
        <v>269</v>
      </c>
      <c r="E51" s="9" t="s">
        <v>270</v>
      </c>
      <c r="F51" s="9" t="s">
        <v>21</v>
      </c>
      <c r="G51" s="9" t="s">
        <v>33</v>
      </c>
      <c r="H51" s="9" t="s">
        <v>44</v>
      </c>
      <c r="I51" s="9" t="s">
        <v>64</v>
      </c>
      <c r="J51" s="9" t="s">
        <v>25</v>
      </c>
      <c r="K51" s="9" t="s">
        <v>26</v>
      </c>
      <c r="L51" s="9" t="s">
        <v>195</v>
      </c>
      <c r="M51" s="9">
        <v>1695.91</v>
      </c>
      <c r="N51" s="9">
        <v>4</v>
      </c>
      <c r="O51" s="9">
        <v>0.2</v>
      </c>
      <c r="P51" s="9">
        <v>150.83000000000001</v>
      </c>
      <c r="Q51" s="9" t="s">
        <v>67</v>
      </c>
      <c r="R51" s="9" t="s">
        <v>38</v>
      </c>
    </row>
    <row r="52" spans="1:18">
      <c r="A52" s="9" t="s">
        <v>271</v>
      </c>
      <c r="B52" s="13" t="s">
        <v>267</v>
      </c>
      <c r="C52" s="13" t="s">
        <v>268</v>
      </c>
      <c r="D52" s="9" t="s">
        <v>272</v>
      </c>
      <c r="E52" s="9" t="s">
        <v>273</v>
      </c>
      <c r="F52" s="9" t="s">
        <v>21</v>
      </c>
      <c r="G52" s="9" t="s">
        <v>54</v>
      </c>
      <c r="H52" s="9" t="s">
        <v>23</v>
      </c>
      <c r="I52" s="9" t="s">
        <v>76</v>
      </c>
      <c r="J52" s="9" t="s">
        <v>25</v>
      </c>
      <c r="K52" s="9" t="s">
        <v>45</v>
      </c>
      <c r="L52" s="9" t="s">
        <v>111</v>
      </c>
      <c r="M52" s="9">
        <v>96.46</v>
      </c>
      <c r="N52" s="9">
        <v>9</v>
      </c>
      <c r="O52" s="9">
        <v>0.02</v>
      </c>
      <c r="P52" s="9">
        <v>23.27</v>
      </c>
      <c r="Q52" s="9" t="s">
        <v>58</v>
      </c>
      <c r="R52" s="9" t="s">
        <v>83</v>
      </c>
    </row>
    <row r="53" spans="1:18">
      <c r="A53" s="9" t="s">
        <v>274</v>
      </c>
      <c r="B53" s="13" t="s">
        <v>267</v>
      </c>
      <c r="C53" s="13" t="s">
        <v>268</v>
      </c>
      <c r="D53" s="9" t="s">
        <v>275</v>
      </c>
      <c r="E53" s="9" t="s">
        <v>276</v>
      </c>
      <c r="F53" s="9" t="s">
        <v>53</v>
      </c>
      <c r="G53" s="9" t="s">
        <v>33</v>
      </c>
      <c r="H53" s="9" t="s">
        <v>95</v>
      </c>
      <c r="I53" s="9" t="s">
        <v>24</v>
      </c>
      <c r="J53" s="9" t="s">
        <v>110</v>
      </c>
      <c r="K53" s="9" t="s">
        <v>45</v>
      </c>
      <c r="L53" s="9" t="s">
        <v>277</v>
      </c>
      <c r="M53" s="9">
        <v>4520.2</v>
      </c>
      <c r="N53" s="9">
        <v>9</v>
      </c>
      <c r="O53" s="9">
        <v>0.24</v>
      </c>
      <c r="P53" s="9">
        <v>876.73</v>
      </c>
      <c r="Q53" s="9" t="s">
        <v>100</v>
      </c>
      <c r="R53" s="9" t="s">
        <v>83</v>
      </c>
    </row>
    <row r="54" spans="1:18">
      <c r="A54" s="9" t="s">
        <v>278</v>
      </c>
      <c r="B54" s="13" t="s">
        <v>267</v>
      </c>
      <c r="C54" s="13" t="s">
        <v>268</v>
      </c>
      <c r="D54" s="9" t="s">
        <v>279</v>
      </c>
      <c r="E54" s="9" t="s">
        <v>280</v>
      </c>
      <c r="F54" s="9" t="s">
        <v>53</v>
      </c>
      <c r="G54" s="9" t="s">
        <v>33</v>
      </c>
      <c r="H54" s="9" t="s">
        <v>23</v>
      </c>
      <c r="I54" s="9" t="s">
        <v>55</v>
      </c>
      <c r="J54" s="9" t="s">
        <v>36</v>
      </c>
      <c r="K54" s="9" t="s">
        <v>26</v>
      </c>
      <c r="L54" s="9" t="s">
        <v>281</v>
      </c>
      <c r="M54" s="9">
        <v>1652.39</v>
      </c>
      <c r="N54" s="9">
        <v>10</v>
      </c>
      <c r="O54" s="9">
        <v>0.15</v>
      </c>
      <c r="P54" s="9">
        <v>482.56</v>
      </c>
      <c r="Q54" s="9" t="s">
        <v>100</v>
      </c>
      <c r="R54" s="9" t="s">
        <v>38</v>
      </c>
    </row>
    <row r="55" spans="1:18">
      <c r="A55" s="9" t="s">
        <v>282</v>
      </c>
      <c r="B55" s="12">
        <v>42686</v>
      </c>
      <c r="C55" s="13" t="s">
        <v>283</v>
      </c>
      <c r="D55" s="9" t="s">
        <v>284</v>
      </c>
      <c r="E55" s="9" t="s">
        <v>285</v>
      </c>
      <c r="F55" s="9" t="s">
        <v>21</v>
      </c>
      <c r="G55" s="9" t="s">
        <v>33</v>
      </c>
      <c r="H55" s="9" t="s">
        <v>23</v>
      </c>
      <c r="I55" s="9" t="s">
        <v>76</v>
      </c>
      <c r="J55" s="9" t="s">
        <v>36</v>
      </c>
      <c r="K55" s="9" t="s">
        <v>65</v>
      </c>
      <c r="L55" s="9" t="s">
        <v>130</v>
      </c>
      <c r="M55" s="9">
        <v>2122.73</v>
      </c>
      <c r="N55" s="9">
        <v>10</v>
      </c>
      <c r="O55" s="9">
        <v>0.22</v>
      </c>
      <c r="P55" s="9">
        <v>618.66999999999996</v>
      </c>
      <c r="Q55" s="9" t="s">
        <v>47</v>
      </c>
      <c r="R55" s="9" t="s">
        <v>83</v>
      </c>
    </row>
    <row r="56" spans="1:18">
      <c r="A56" s="9" t="s">
        <v>286</v>
      </c>
      <c r="B56" s="12">
        <v>42686</v>
      </c>
      <c r="C56" s="13" t="s">
        <v>283</v>
      </c>
      <c r="D56" s="9" t="s">
        <v>287</v>
      </c>
      <c r="E56" s="9" t="s">
        <v>288</v>
      </c>
      <c r="F56" s="9" t="s">
        <v>53</v>
      </c>
      <c r="G56" s="9" t="s">
        <v>33</v>
      </c>
      <c r="H56" s="9" t="s">
        <v>44</v>
      </c>
      <c r="I56" s="9" t="s">
        <v>55</v>
      </c>
      <c r="J56" s="9" t="s">
        <v>110</v>
      </c>
      <c r="K56" s="9" t="s">
        <v>45</v>
      </c>
      <c r="L56" s="9" t="s">
        <v>87</v>
      </c>
      <c r="M56" s="9">
        <v>3624.16</v>
      </c>
      <c r="N56" s="9">
        <v>3</v>
      </c>
      <c r="O56" s="9">
        <v>0.21</v>
      </c>
      <c r="P56" s="9">
        <v>424.71</v>
      </c>
      <c r="Q56" s="9" t="s">
        <v>58</v>
      </c>
      <c r="R56" s="9" t="s">
        <v>83</v>
      </c>
    </row>
    <row r="57" spans="1:18">
      <c r="A57" s="9" t="s">
        <v>289</v>
      </c>
      <c r="B57" s="13" t="s">
        <v>290</v>
      </c>
      <c r="C57" s="13" t="s">
        <v>291</v>
      </c>
      <c r="D57" s="9" t="s">
        <v>292</v>
      </c>
      <c r="E57" s="9" t="s">
        <v>293</v>
      </c>
      <c r="F57" s="9" t="s">
        <v>21</v>
      </c>
      <c r="G57" s="9" t="s">
        <v>54</v>
      </c>
      <c r="H57" s="9" t="s">
        <v>63</v>
      </c>
      <c r="I57" s="9" t="s">
        <v>24</v>
      </c>
      <c r="J57" s="9" t="s">
        <v>25</v>
      </c>
      <c r="K57" s="9" t="s">
        <v>77</v>
      </c>
      <c r="L57" s="9" t="s">
        <v>87</v>
      </c>
      <c r="M57" s="9">
        <v>810.74</v>
      </c>
      <c r="N57" s="9">
        <v>7</v>
      </c>
      <c r="O57" s="9">
        <v>0.27</v>
      </c>
      <c r="P57" s="9">
        <v>107.42</v>
      </c>
      <c r="Q57" s="9" t="s">
        <v>58</v>
      </c>
      <c r="R57" s="9" t="s">
        <v>38</v>
      </c>
    </row>
    <row r="58" spans="1:18">
      <c r="A58" s="9" t="s">
        <v>294</v>
      </c>
      <c r="B58" s="13" t="s">
        <v>290</v>
      </c>
      <c r="C58" s="13" t="s">
        <v>291</v>
      </c>
      <c r="D58" s="9" t="s">
        <v>295</v>
      </c>
      <c r="E58" s="9" t="s">
        <v>296</v>
      </c>
      <c r="F58" s="9" t="s">
        <v>21</v>
      </c>
      <c r="G58" s="9" t="s">
        <v>22</v>
      </c>
      <c r="H58" s="9" t="s">
        <v>44</v>
      </c>
      <c r="I58" s="9" t="s">
        <v>24</v>
      </c>
      <c r="J58" s="9" t="s">
        <v>25</v>
      </c>
      <c r="K58" s="9" t="s">
        <v>26</v>
      </c>
      <c r="L58" s="9" t="s">
        <v>212</v>
      </c>
      <c r="M58" s="9">
        <v>1894.58</v>
      </c>
      <c r="N58" s="9">
        <v>5</v>
      </c>
      <c r="O58" s="9">
        <v>0.03</v>
      </c>
      <c r="P58" s="9">
        <v>408.53</v>
      </c>
      <c r="Q58" s="9" t="s">
        <v>67</v>
      </c>
      <c r="R58" s="9" t="s">
        <v>83</v>
      </c>
    </row>
    <row r="59" spans="1:18">
      <c r="A59" s="9" t="s">
        <v>297</v>
      </c>
      <c r="B59" s="13" t="s">
        <v>290</v>
      </c>
      <c r="C59" s="13" t="s">
        <v>291</v>
      </c>
      <c r="D59" s="9" t="s">
        <v>298</v>
      </c>
      <c r="E59" s="9" t="s">
        <v>299</v>
      </c>
      <c r="F59" s="9" t="s">
        <v>43</v>
      </c>
      <c r="G59" s="9" t="s">
        <v>33</v>
      </c>
      <c r="H59" s="9" t="s">
        <v>95</v>
      </c>
      <c r="I59" s="9" t="s">
        <v>35</v>
      </c>
      <c r="J59" s="9" t="s">
        <v>25</v>
      </c>
      <c r="K59" s="9" t="s">
        <v>65</v>
      </c>
      <c r="L59" s="9" t="s">
        <v>147</v>
      </c>
      <c r="M59" s="9">
        <v>2385.16</v>
      </c>
      <c r="N59" s="9">
        <v>5</v>
      </c>
      <c r="O59" s="9">
        <v>0.12</v>
      </c>
      <c r="P59" s="9">
        <v>235.61</v>
      </c>
      <c r="Q59" s="9" t="s">
        <v>47</v>
      </c>
      <c r="R59" s="9" t="s">
        <v>48</v>
      </c>
    </row>
    <row r="60" spans="1:18">
      <c r="A60" s="9" t="s">
        <v>300</v>
      </c>
      <c r="B60" s="13" t="s">
        <v>290</v>
      </c>
      <c r="C60" s="13" t="s">
        <v>291</v>
      </c>
      <c r="D60" s="9" t="s">
        <v>301</v>
      </c>
      <c r="E60" s="9" t="s">
        <v>302</v>
      </c>
      <c r="F60" s="9" t="s">
        <v>43</v>
      </c>
      <c r="G60" s="9" t="s">
        <v>22</v>
      </c>
      <c r="H60" s="9" t="s">
        <v>44</v>
      </c>
      <c r="I60" s="9" t="s">
        <v>24</v>
      </c>
      <c r="J60" s="9" t="s">
        <v>25</v>
      </c>
      <c r="K60" s="9" t="s">
        <v>45</v>
      </c>
      <c r="L60" s="9" t="s">
        <v>303</v>
      </c>
      <c r="M60" s="9">
        <v>2749.14</v>
      </c>
      <c r="N60" s="9">
        <v>1</v>
      </c>
      <c r="O60" s="9">
        <v>0.14000000000000001</v>
      </c>
      <c r="P60" s="9">
        <v>355.22</v>
      </c>
      <c r="Q60" s="9" t="s">
        <v>58</v>
      </c>
      <c r="R60" s="9" t="s">
        <v>29</v>
      </c>
    </row>
    <row r="61" spans="1:18">
      <c r="A61" s="9" t="s">
        <v>304</v>
      </c>
      <c r="B61" s="13" t="s">
        <v>290</v>
      </c>
      <c r="C61" s="13" t="s">
        <v>291</v>
      </c>
      <c r="D61" s="9" t="s">
        <v>305</v>
      </c>
      <c r="E61" s="9" t="s">
        <v>306</v>
      </c>
      <c r="F61" s="9" t="s">
        <v>43</v>
      </c>
      <c r="G61" s="9" t="s">
        <v>62</v>
      </c>
      <c r="H61" s="9" t="s">
        <v>95</v>
      </c>
      <c r="I61" s="9" t="s">
        <v>64</v>
      </c>
      <c r="J61" s="9" t="s">
        <v>110</v>
      </c>
      <c r="K61" s="9" t="s">
        <v>26</v>
      </c>
      <c r="L61" s="9" t="s">
        <v>120</v>
      </c>
      <c r="M61" s="9">
        <v>532.27</v>
      </c>
      <c r="N61" s="9">
        <v>8</v>
      </c>
      <c r="O61" s="9">
        <v>0.1</v>
      </c>
      <c r="P61" s="9">
        <v>142</v>
      </c>
      <c r="Q61" s="9" t="s">
        <v>67</v>
      </c>
      <c r="R61" s="9" t="s">
        <v>38</v>
      </c>
    </row>
    <row r="62" spans="1:18">
      <c r="A62" s="9" t="s">
        <v>307</v>
      </c>
      <c r="B62" s="13" t="s">
        <v>290</v>
      </c>
      <c r="C62" s="13" t="s">
        <v>291</v>
      </c>
      <c r="D62" s="9" t="s">
        <v>308</v>
      </c>
      <c r="E62" s="9" t="s">
        <v>309</v>
      </c>
      <c r="F62" s="9" t="s">
        <v>53</v>
      </c>
      <c r="G62" s="9" t="s">
        <v>33</v>
      </c>
      <c r="H62" s="9" t="s">
        <v>63</v>
      </c>
      <c r="I62" s="9" t="s">
        <v>76</v>
      </c>
      <c r="J62" s="9" t="s">
        <v>25</v>
      </c>
      <c r="K62" s="9" t="s">
        <v>45</v>
      </c>
      <c r="L62" s="9" t="s">
        <v>310</v>
      </c>
      <c r="M62" s="9">
        <v>2331.98</v>
      </c>
      <c r="N62" s="9">
        <v>2</v>
      </c>
      <c r="O62" s="9">
        <v>0.28000000000000003</v>
      </c>
      <c r="P62" s="9">
        <v>122.15</v>
      </c>
      <c r="Q62" s="9" t="s">
        <v>58</v>
      </c>
      <c r="R62" s="9" t="s">
        <v>48</v>
      </c>
    </row>
    <row r="63" spans="1:18">
      <c r="A63" s="9" t="s">
        <v>311</v>
      </c>
      <c r="B63" s="13" t="s">
        <v>290</v>
      </c>
      <c r="C63" s="13" t="s">
        <v>291</v>
      </c>
      <c r="D63" s="9" t="s">
        <v>312</v>
      </c>
      <c r="E63" s="9" t="s">
        <v>313</v>
      </c>
      <c r="F63" s="9" t="s">
        <v>43</v>
      </c>
      <c r="G63" s="9" t="s">
        <v>22</v>
      </c>
      <c r="H63" s="9" t="s">
        <v>95</v>
      </c>
      <c r="I63" s="9" t="s">
        <v>55</v>
      </c>
      <c r="J63" s="9" t="s">
        <v>36</v>
      </c>
      <c r="K63" s="9" t="s">
        <v>56</v>
      </c>
      <c r="L63" s="9" t="s">
        <v>91</v>
      </c>
      <c r="M63" s="9">
        <v>3596.35</v>
      </c>
      <c r="N63" s="9">
        <v>3</v>
      </c>
      <c r="O63" s="9">
        <v>0.05</v>
      </c>
      <c r="P63" s="9">
        <v>1169.8699999999999</v>
      </c>
      <c r="Q63" s="9" t="s">
        <v>47</v>
      </c>
      <c r="R63" s="9" t="s">
        <v>29</v>
      </c>
    </row>
    <row r="64" spans="1:18">
      <c r="A64" s="9" t="s">
        <v>314</v>
      </c>
      <c r="B64" s="13" t="s">
        <v>315</v>
      </c>
      <c r="C64" s="13" t="s">
        <v>316</v>
      </c>
      <c r="D64" s="9" t="s">
        <v>317</v>
      </c>
      <c r="E64" s="9" t="s">
        <v>318</v>
      </c>
      <c r="F64" s="9" t="s">
        <v>53</v>
      </c>
      <c r="G64" s="9" t="s">
        <v>22</v>
      </c>
      <c r="H64" s="9" t="s">
        <v>34</v>
      </c>
      <c r="I64" s="9" t="s">
        <v>55</v>
      </c>
      <c r="J64" s="9" t="s">
        <v>36</v>
      </c>
      <c r="K64" s="9" t="s">
        <v>26</v>
      </c>
      <c r="L64" s="9" t="s">
        <v>82</v>
      </c>
      <c r="M64" s="9">
        <v>2720.31</v>
      </c>
      <c r="N64" s="9">
        <v>10</v>
      </c>
      <c r="O64" s="9">
        <v>0.28000000000000003</v>
      </c>
      <c r="P64" s="9">
        <v>407.58</v>
      </c>
      <c r="Q64" s="9" t="s">
        <v>47</v>
      </c>
      <c r="R64" s="9" t="s">
        <v>83</v>
      </c>
    </row>
    <row r="65" spans="1:18">
      <c r="A65" s="9" t="s">
        <v>319</v>
      </c>
      <c r="B65" s="13" t="s">
        <v>315</v>
      </c>
      <c r="C65" s="13" t="s">
        <v>316</v>
      </c>
      <c r="D65" s="9" t="s">
        <v>320</v>
      </c>
      <c r="E65" s="9" t="s">
        <v>321</v>
      </c>
      <c r="F65" s="9" t="s">
        <v>43</v>
      </c>
      <c r="G65" s="9" t="s">
        <v>62</v>
      </c>
      <c r="H65" s="9" t="s">
        <v>23</v>
      </c>
      <c r="I65" s="9" t="s">
        <v>55</v>
      </c>
      <c r="J65" s="9" t="s">
        <v>25</v>
      </c>
      <c r="K65" s="9" t="s">
        <v>45</v>
      </c>
      <c r="L65" s="9" t="s">
        <v>322</v>
      </c>
      <c r="M65" s="9">
        <v>3507.21</v>
      </c>
      <c r="N65" s="9">
        <v>8</v>
      </c>
      <c r="O65" s="9">
        <v>0.18</v>
      </c>
      <c r="P65" s="9">
        <v>700.39</v>
      </c>
      <c r="Q65" s="9" t="s">
        <v>28</v>
      </c>
      <c r="R65" s="9" t="s">
        <v>38</v>
      </c>
    </row>
    <row r="66" spans="1:18">
      <c r="A66" s="9" t="s">
        <v>323</v>
      </c>
      <c r="B66" s="13" t="s">
        <v>315</v>
      </c>
      <c r="C66" s="13" t="s">
        <v>316</v>
      </c>
      <c r="D66" s="9" t="s">
        <v>324</v>
      </c>
      <c r="E66" s="9" t="s">
        <v>325</v>
      </c>
      <c r="F66" s="9" t="s">
        <v>43</v>
      </c>
      <c r="G66" s="9" t="s">
        <v>22</v>
      </c>
      <c r="H66" s="9" t="s">
        <v>95</v>
      </c>
      <c r="I66" s="9" t="s">
        <v>55</v>
      </c>
      <c r="J66" s="9" t="s">
        <v>110</v>
      </c>
      <c r="K66" s="9" t="s">
        <v>77</v>
      </c>
      <c r="L66" s="9" t="s">
        <v>326</v>
      </c>
      <c r="M66" s="9">
        <v>3624.61</v>
      </c>
      <c r="N66" s="9">
        <v>10</v>
      </c>
      <c r="O66" s="9">
        <v>0.1</v>
      </c>
      <c r="P66" s="9">
        <v>986.08</v>
      </c>
      <c r="Q66" s="9" t="s">
        <v>100</v>
      </c>
      <c r="R66" s="9" t="s">
        <v>48</v>
      </c>
    </row>
    <row r="67" spans="1:18">
      <c r="A67" s="9" t="s">
        <v>327</v>
      </c>
      <c r="B67" s="13" t="s">
        <v>315</v>
      </c>
      <c r="C67" s="13" t="s">
        <v>316</v>
      </c>
      <c r="D67" s="9" t="s">
        <v>328</v>
      </c>
      <c r="E67" s="9" t="s">
        <v>329</v>
      </c>
      <c r="F67" s="9" t="s">
        <v>43</v>
      </c>
      <c r="G67" s="9" t="s">
        <v>62</v>
      </c>
      <c r="H67" s="9" t="s">
        <v>23</v>
      </c>
      <c r="I67" s="9" t="s">
        <v>24</v>
      </c>
      <c r="J67" s="9" t="s">
        <v>110</v>
      </c>
      <c r="K67" s="9" t="s">
        <v>65</v>
      </c>
      <c r="L67" s="9" t="s">
        <v>46</v>
      </c>
      <c r="M67" s="9">
        <v>1020.32</v>
      </c>
      <c r="N67" s="9">
        <v>9</v>
      </c>
      <c r="O67" s="9">
        <v>0.13</v>
      </c>
      <c r="P67" s="9">
        <v>87.36</v>
      </c>
      <c r="Q67" s="9" t="s">
        <v>100</v>
      </c>
      <c r="R67" s="9" t="s">
        <v>38</v>
      </c>
    </row>
    <row r="68" spans="1:18">
      <c r="A68" s="9" t="s">
        <v>330</v>
      </c>
      <c r="B68" s="13" t="s">
        <v>331</v>
      </c>
      <c r="C68" s="12">
        <v>42129</v>
      </c>
      <c r="D68" s="9" t="s">
        <v>332</v>
      </c>
      <c r="E68" s="9" t="s">
        <v>333</v>
      </c>
      <c r="F68" s="9" t="s">
        <v>43</v>
      </c>
      <c r="G68" s="9" t="s">
        <v>54</v>
      </c>
      <c r="H68" s="9" t="s">
        <v>23</v>
      </c>
      <c r="I68" s="9" t="s">
        <v>24</v>
      </c>
      <c r="J68" s="9" t="s">
        <v>110</v>
      </c>
      <c r="K68" s="9" t="s">
        <v>77</v>
      </c>
      <c r="L68" s="9" t="s">
        <v>281</v>
      </c>
      <c r="M68" s="9">
        <v>3427.9</v>
      </c>
      <c r="N68" s="9">
        <v>10</v>
      </c>
      <c r="O68" s="9">
        <v>0.1</v>
      </c>
      <c r="P68" s="9">
        <v>216.15</v>
      </c>
      <c r="Q68" s="9" t="s">
        <v>47</v>
      </c>
      <c r="R68" s="9" t="s">
        <v>83</v>
      </c>
    </row>
    <row r="69" spans="1:18">
      <c r="A69" s="9" t="s">
        <v>334</v>
      </c>
      <c r="B69" s="12">
        <v>41771</v>
      </c>
      <c r="C69" s="12">
        <v>41924</v>
      </c>
      <c r="D69" s="9" t="s">
        <v>335</v>
      </c>
      <c r="E69" s="9" t="s">
        <v>336</v>
      </c>
      <c r="F69" s="9" t="s">
        <v>43</v>
      </c>
      <c r="G69" s="9" t="s">
        <v>54</v>
      </c>
      <c r="H69" s="9" t="s">
        <v>34</v>
      </c>
      <c r="I69" s="9" t="s">
        <v>76</v>
      </c>
      <c r="J69" s="9" t="s">
        <v>36</v>
      </c>
      <c r="K69" s="9" t="s">
        <v>26</v>
      </c>
      <c r="L69" s="9" t="s">
        <v>277</v>
      </c>
      <c r="M69" s="9">
        <v>2861.94</v>
      </c>
      <c r="N69" s="9">
        <v>10</v>
      </c>
      <c r="O69" s="9">
        <v>0.11</v>
      </c>
      <c r="P69" s="9">
        <v>832.55</v>
      </c>
      <c r="Q69" s="9" t="s">
        <v>67</v>
      </c>
      <c r="R69" s="9" t="s">
        <v>48</v>
      </c>
    </row>
    <row r="70" spans="1:18">
      <c r="A70" s="9" t="s">
        <v>337</v>
      </c>
      <c r="B70" s="12">
        <v>41771</v>
      </c>
      <c r="C70" s="12">
        <v>41924</v>
      </c>
      <c r="D70" s="9" t="s">
        <v>338</v>
      </c>
      <c r="E70" s="9" t="s">
        <v>339</v>
      </c>
      <c r="F70" s="9" t="s">
        <v>43</v>
      </c>
      <c r="G70" s="9" t="s">
        <v>54</v>
      </c>
      <c r="H70" s="9" t="s">
        <v>44</v>
      </c>
      <c r="I70" s="9" t="s">
        <v>64</v>
      </c>
      <c r="J70" s="9" t="s">
        <v>110</v>
      </c>
      <c r="K70" s="9" t="s">
        <v>26</v>
      </c>
      <c r="L70" s="9" t="s">
        <v>120</v>
      </c>
      <c r="M70" s="9">
        <v>895.71</v>
      </c>
      <c r="N70" s="9">
        <v>9</v>
      </c>
      <c r="O70" s="9">
        <v>0.24</v>
      </c>
      <c r="P70" s="9">
        <v>133.59</v>
      </c>
      <c r="Q70" s="9" t="s">
        <v>67</v>
      </c>
      <c r="R70" s="9" t="s">
        <v>48</v>
      </c>
    </row>
    <row r="71" spans="1:18">
      <c r="A71" s="9" t="s">
        <v>340</v>
      </c>
      <c r="B71" s="12">
        <v>42466</v>
      </c>
      <c r="C71" s="12">
        <v>42527</v>
      </c>
      <c r="D71" s="9" t="s">
        <v>341</v>
      </c>
      <c r="E71" s="9" t="s">
        <v>342</v>
      </c>
      <c r="F71" s="9" t="s">
        <v>43</v>
      </c>
      <c r="G71" s="9" t="s">
        <v>62</v>
      </c>
      <c r="H71" s="9" t="s">
        <v>63</v>
      </c>
      <c r="I71" s="9" t="s">
        <v>55</v>
      </c>
      <c r="J71" s="9" t="s">
        <v>36</v>
      </c>
      <c r="K71" s="9" t="s">
        <v>65</v>
      </c>
      <c r="L71" s="9" t="s">
        <v>343</v>
      </c>
      <c r="M71" s="9">
        <v>4828.21</v>
      </c>
      <c r="N71" s="9">
        <v>7</v>
      </c>
      <c r="O71" s="9">
        <v>0.16</v>
      </c>
      <c r="P71" s="9">
        <v>835.22</v>
      </c>
      <c r="Q71" s="9" t="s">
        <v>67</v>
      </c>
      <c r="R71" s="9" t="s">
        <v>29</v>
      </c>
    </row>
    <row r="72" spans="1:18">
      <c r="A72" s="9" t="s">
        <v>344</v>
      </c>
      <c r="B72" s="13" t="s">
        <v>345</v>
      </c>
      <c r="C72" s="13" t="s">
        <v>346</v>
      </c>
      <c r="D72" s="9" t="s">
        <v>347</v>
      </c>
      <c r="E72" s="9" t="s">
        <v>348</v>
      </c>
      <c r="F72" s="9" t="s">
        <v>43</v>
      </c>
      <c r="G72" s="9" t="s">
        <v>54</v>
      </c>
      <c r="H72" s="9" t="s">
        <v>34</v>
      </c>
      <c r="I72" s="9" t="s">
        <v>35</v>
      </c>
      <c r="J72" s="9" t="s">
        <v>110</v>
      </c>
      <c r="K72" s="9" t="s">
        <v>56</v>
      </c>
      <c r="L72" s="9" t="s">
        <v>310</v>
      </c>
      <c r="M72" s="9">
        <v>4214.49</v>
      </c>
      <c r="N72" s="9">
        <v>5</v>
      </c>
      <c r="O72" s="9">
        <v>0.02</v>
      </c>
      <c r="P72" s="9">
        <v>444.03</v>
      </c>
      <c r="Q72" s="9" t="s">
        <v>28</v>
      </c>
      <c r="R72" s="9" t="s">
        <v>83</v>
      </c>
    </row>
    <row r="73" spans="1:18">
      <c r="A73" s="9" t="s">
        <v>349</v>
      </c>
      <c r="B73" s="13" t="s">
        <v>350</v>
      </c>
      <c r="C73" s="13" t="s">
        <v>351</v>
      </c>
      <c r="D73" s="9" t="s">
        <v>352</v>
      </c>
      <c r="E73" s="9" t="s">
        <v>353</v>
      </c>
      <c r="F73" s="9" t="s">
        <v>53</v>
      </c>
      <c r="G73" s="9" t="s">
        <v>54</v>
      </c>
      <c r="H73" s="9" t="s">
        <v>95</v>
      </c>
      <c r="I73" s="9" t="s">
        <v>35</v>
      </c>
      <c r="J73" s="9" t="s">
        <v>110</v>
      </c>
      <c r="K73" s="9" t="s">
        <v>56</v>
      </c>
      <c r="L73" s="9" t="s">
        <v>204</v>
      </c>
      <c r="M73" s="9">
        <v>1247.26</v>
      </c>
      <c r="N73" s="9">
        <v>1</v>
      </c>
      <c r="O73" s="9">
        <v>0</v>
      </c>
      <c r="P73" s="9">
        <v>112.48</v>
      </c>
      <c r="Q73" s="9" t="s">
        <v>100</v>
      </c>
      <c r="R73" s="9" t="s">
        <v>38</v>
      </c>
    </row>
    <row r="74" spans="1:18">
      <c r="A74" s="9" t="s">
        <v>354</v>
      </c>
      <c r="B74" s="13" t="s">
        <v>355</v>
      </c>
      <c r="C74" s="12">
        <v>42040</v>
      </c>
      <c r="D74" s="9" t="s">
        <v>356</v>
      </c>
      <c r="E74" s="9" t="s">
        <v>357</v>
      </c>
      <c r="F74" s="9" t="s">
        <v>43</v>
      </c>
      <c r="G74" s="9" t="s">
        <v>54</v>
      </c>
      <c r="H74" s="9" t="s">
        <v>44</v>
      </c>
      <c r="I74" s="9" t="s">
        <v>64</v>
      </c>
      <c r="J74" s="9" t="s">
        <v>36</v>
      </c>
      <c r="K74" s="9" t="s">
        <v>77</v>
      </c>
      <c r="L74" s="9" t="s">
        <v>46</v>
      </c>
      <c r="M74" s="9">
        <v>1072.54</v>
      </c>
      <c r="N74" s="9">
        <v>3</v>
      </c>
      <c r="O74" s="9">
        <v>0.1</v>
      </c>
      <c r="P74" s="9">
        <v>159.71</v>
      </c>
      <c r="Q74" s="9" t="s">
        <v>67</v>
      </c>
      <c r="R74" s="9" t="s">
        <v>38</v>
      </c>
    </row>
    <row r="75" spans="1:18">
      <c r="A75" s="9" t="s">
        <v>358</v>
      </c>
      <c r="B75" s="13" t="s">
        <v>355</v>
      </c>
      <c r="C75" s="12">
        <v>42040</v>
      </c>
      <c r="D75" s="9" t="s">
        <v>359</v>
      </c>
      <c r="E75" s="9" t="s">
        <v>360</v>
      </c>
      <c r="F75" s="9" t="s">
        <v>53</v>
      </c>
      <c r="G75" s="9" t="s">
        <v>54</v>
      </c>
      <c r="H75" s="9" t="s">
        <v>95</v>
      </c>
      <c r="I75" s="9" t="s">
        <v>55</v>
      </c>
      <c r="J75" s="9" t="s">
        <v>25</v>
      </c>
      <c r="K75" s="9" t="s">
        <v>56</v>
      </c>
      <c r="L75" s="9" t="s">
        <v>277</v>
      </c>
      <c r="M75" s="9">
        <v>2499.04</v>
      </c>
      <c r="N75" s="9">
        <v>8</v>
      </c>
      <c r="O75" s="9">
        <v>7.0000000000000007E-2</v>
      </c>
      <c r="P75" s="9">
        <v>578.17999999999995</v>
      </c>
      <c r="Q75" s="9" t="s">
        <v>67</v>
      </c>
      <c r="R75" s="9" t="s">
        <v>48</v>
      </c>
    </row>
    <row r="76" spans="1:18">
      <c r="A76" s="9" t="s">
        <v>361</v>
      </c>
      <c r="B76" s="13" t="s">
        <v>355</v>
      </c>
      <c r="C76" s="12">
        <v>42040</v>
      </c>
      <c r="D76" s="9" t="s">
        <v>362</v>
      </c>
      <c r="E76" s="9" t="s">
        <v>363</v>
      </c>
      <c r="F76" s="9" t="s">
        <v>43</v>
      </c>
      <c r="G76" s="9" t="s">
        <v>62</v>
      </c>
      <c r="H76" s="9" t="s">
        <v>34</v>
      </c>
      <c r="I76" s="9" t="s">
        <v>76</v>
      </c>
      <c r="J76" s="9" t="s">
        <v>25</v>
      </c>
      <c r="K76" s="9" t="s">
        <v>77</v>
      </c>
      <c r="L76" s="9" t="s">
        <v>130</v>
      </c>
      <c r="M76" s="9">
        <v>4867.28</v>
      </c>
      <c r="N76" s="9">
        <v>4</v>
      </c>
      <c r="O76" s="9">
        <v>0.3</v>
      </c>
      <c r="P76" s="9">
        <v>897.35</v>
      </c>
      <c r="Q76" s="9" t="s">
        <v>100</v>
      </c>
      <c r="R76" s="9" t="s">
        <v>48</v>
      </c>
    </row>
    <row r="77" spans="1:18">
      <c r="A77" s="9" t="s">
        <v>364</v>
      </c>
      <c r="B77" s="12">
        <v>42990</v>
      </c>
      <c r="C77" s="12">
        <v>43051</v>
      </c>
      <c r="D77" s="9" t="s">
        <v>365</v>
      </c>
      <c r="E77" s="9" t="s">
        <v>366</v>
      </c>
      <c r="F77" s="9" t="s">
        <v>43</v>
      </c>
      <c r="G77" s="9" t="s">
        <v>33</v>
      </c>
      <c r="H77" s="9" t="s">
        <v>63</v>
      </c>
      <c r="I77" s="9" t="s">
        <v>24</v>
      </c>
      <c r="J77" s="9" t="s">
        <v>36</v>
      </c>
      <c r="K77" s="9" t="s">
        <v>26</v>
      </c>
      <c r="L77" s="9" t="s">
        <v>218</v>
      </c>
      <c r="M77" s="9">
        <v>2755.11</v>
      </c>
      <c r="N77" s="9">
        <v>6</v>
      </c>
      <c r="O77" s="9">
        <v>0.15</v>
      </c>
      <c r="P77" s="9">
        <v>868.72</v>
      </c>
      <c r="Q77" s="9" t="s">
        <v>28</v>
      </c>
      <c r="R77" s="9" t="s">
        <v>38</v>
      </c>
    </row>
    <row r="78" spans="1:18">
      <c r="A78" s="9" t="s">
        <v>367</v>
      </c>
      <c r="B78" s="12">
        <v>42990</v>
      </c>
      <c r="C78" s="12">
        <v>43051</v>
      </c>
      <c r="D78" s="9" t="s">
        <v>368</v>
      </c>
      <c r="E78" s="9" t="s">
        <v>369</v>
      </c>
      <c r="F78" s="9" t="s">
        <v>21</v>
      </c>
      <c r="G78" s="9" t="s">
        <v>22</v>
      </c>
      <c r="H78" s="9" t="s">
        <v>95</v>
      </c>
      <c r="I78" s="9" t="s">
        <v>55</v>
      </c>
      <c r="J78" s="9" t="s">
        <v>36</v>
      </c>
      <c r="K78" s="9" t="s">
        <v>26</v>
      </c>
      <c r="L78" s="9" t="s">
        <v>130</v>
      </c>
      <c r="M78" s="9">
        <v>3598.23</v>
      </c>
      <c r="N78" s="9">
        <v>3</v>
      </c>
      <c r="O78" s="9">
        <v>0.06</v>
      </c>
      <c r="P78" s="9">
        <v>913.4</v>
      </c>
      <c r="Q78" s="9" t="s">
        <v>47</v>
      </c>
      <c r="R78" s="9" t="s">
        <v>48</v>
      </c>
    </row>
    <row r="79" spans="1:18">
      <c r="A79" s="9" t="s">
        <v>370</v>
      </c>
      <c r="B79" s="12">
        <v>42990</v>
      </c>
      <c r="C79" s="12">
        <v>43051</v>
      </c>
      <c r="D79" s="9" t="s">
        <v>371</v>
      </c>
      <c r="E79" s="9" t="s">
        <v>372</v>
      </c>
      <c r="F79" s="9" t="s">
        <v>43</v>
      </c>
      <c r="G79" s="9" t="s">
        <v>54</v>
      </c>
      <c r="H79" s="9" t="s">
        <v>63</v>
      </c>
      <c r="I79" s="9" t="s">
        <v>76</v>
      </c>
      <c r="J79" s="9" t="s">
        <v>36</v>
      </c>
      <c r="K79" s="9" t="s">
        <v>56</v>
      </c>
      <c r="L79" s="9" t="s">
        <v>139</v>
      </c>
      <c r="M79" s="9">
        <v>1092.54</v>
      </c>
      <c r="N79" s="9">
        <v>6</v>
      </c>
      <c r="O79" s="9">
        <v>0.24</v>
      </c>
      <c r="P79" s="9">
        <v>172.65</v>
      </c>
      <c r="Q79" s="9" t="s">
        <v>58</v>
      </c>
      <c r="R79" s="9" t="s">
        <v>29</v>
      </c>
    </row>
    <row r="80" spans="1:18">
      <c r="A80" s="9" t="s">
        <v>373</v>
      </c>
      <c r="B80" s="13" t="s">
        <v>374</v>
      </c>
      <c r="C80" s="12">
        <v>41651</v>
      </c>
      <c r="D80" s="9" t="s">
        <v>375</v>
      </c>
      <c r="E80" s="9" t="s">
        <v>376</v>
      </c>
      <c r="F80" s="9" t="s">
        <v>21</v>
      </c>
      <c r="G80" s="9" t="s">
        <v>62</v>
      </c>
      <c r="H80" s="9" t="s">
        <v>44</v>
      </c>
      <c r="I80" s="9" t="s">
        <v>64</v>
      </c>
      <c r="J80" s="9" t="s">
        <v>36</v>
      </c>
      <c r="K80" s="9" t="s">
        <v>45</v>
      </c>
      <c r="L80" s="9" t="s">
        <v>377</v>
      </c>
      <c r="M80" s="9">
        <v>1147.02</v>
      </c>
      <c r="N80" s="9">
        <v>5</v>
      </c>
      <c r="O80" s="9">
        <v>0.08</v>
      </c>
      <c r="P80" s="9">
        <v>198.17</v>
      </c>
      <c r="Q80" s="9" t="s">
        <v>28</v>
      </c>
      <c r="R80" s="9" t="s">
        <v>29</v>
      </c>
    </row>
    <row r="81" spans="1:18">
      <c r="A81" s="9" t="s">
        <v>378</v>
      </c>
      <c r="B81" s="12">
        <v>42710</v>
      </c>
      <c r="C81" s="13" t="s">
        <v>379</v>
      </c>
      <c r="D81" s="9" t="s">
        <v>380</v>
      </c>
      <c r="E81" s="9" t="s">
        <v>381</v>
      </c>
      <c r="F81" s="9" t="s">
        <v>43</v>
      </c>
      <c r="G81" s="9" t="s">
        <v>62</v>
      </c>
      <c r="H81" s="9" t="s">
        <v>44</v>
      </c>
      <c r="I81" s="9" t="s">
        <v>55</v>
      </c>
      <c r="J81" s="9" t="s">
        <v>25</v>
      </c>
      <c r="K81" s="9" t="s">
        <v>77</v>
      </c>
      <c r="L81" s="9" t="s">
        <v>87</v>
      </c>
      <c r="M81" s="9">
        <v>123.4</v>
      </c>
      <c r="N81" s="9">
        <v>10</v>
      </c>
      <c r="O81" s="9">
        <v>0.21</v>
      </c>
      <c r="P81" s="9">
        <v>14.16</v>
      </c>
      <c r="Q81" s="9" t="s">
        <v>47</v>
      </c>
      <c r="R81" s="9" t="s">
        <v>48</v>
      </c>
    </row>
    <row r="82" spans="1:18">
      <c r="A82" s="9" t="s">
        <v>382</v>
      </c>
      <c r="B82" s="12">
        <v>42710</v>
      </c>
      <c r="C82" s="13" t="s">
        <v>379</v>
      </c>
      <c r="D82" s="9" t="s">
        <v>383</v>
      </c>
      <c r="E82" s="9" t="s">
        <v>384</v>
      </c>
      <c r="F82" s="9" t="s">
        <v>53</v>
      </c>
      <c r="G82" s="9" t="s">
        <v>33</v>
      </c>
      <c r="H82" s="9" t="s">
        <v>23</v>
      </c>
      <c r="I82" s="9" t="s">
        <v>76</v>
      </c>
      <c r="J82" s="9" t="s">
        <v>110</v>
      </c>
      <c r="K82" s="9" t="s">
        <v>65</v>
      </c>
      <c r="L82" s="9" t="s">
        <v>229</v>
      </c>
      <c r="M82" s="9">
        <v>2099.71</v>
      </c>
      <c r="N82" s="9">
        <v>4</v>
      </c>
      <c r="O82" s="9">
        <v>0.02</v>
      </c>
      <c r="P82" s="9">
        <v>236.14</v>
      </c>
      <c r="Q82" s="9" t="s">
        <v>47</v>
      </c>
      <c r="R82" s="9" t="s">
        <v>29</v>
      </c>
    </row>
    <row r="83" spans="1:18">
      <c r="A83" s="9" t="s">
        <v>385</v>
      </c>
      <c r="B83" s="12">
        <v>41983</v>
      </c>
      <c r="C83" s="13" t="s">
        <v>386</v>
      </c>
      <c r="D83" s="9" t="s">
        <v>387</v>
      </c>
      <c r="E83" s="9" t="s">
        <v>388</v>
      </c>
      <c r="F83" s="9" t="s">
        <v>21</v>
      </c>
      <c r="G83" s="9" t="s">
        <v>33</v>
      </c>
      <c r="H83" s="9" t="s">
        <v>63</v>
      </c>
      <c r="I83" s="9" t="s">
        <v>64</v>
      </c>
      <c r="J83" s="9" t="s">
        <v>36</v>
      </c>
      <c r="K83" s="9" t="s">
        <v>65</v>
      </c>
      <c r="L83" s="9" t="s">
        <v>389</v>
      </c>
      <c r="M83" s="9">
        <v>2917.1</v>
      </c>
      <c r="N83" s="9">
        <v>7</v>
      </c>
      <c r="O83" s="9">
        <v>0.17</v>
      </c>
      <c r="P83" s="9">
        <v>281.5</v>
      </c>
      <c r="Q83" s="9" t="s">
        <v>47</v>
      </c>
      <c r="R83" s="9" t="s">
        <v>83</v>
      </c>
    </row>
    <row r="84" spans="1:18">
      <c r="A84" s="9" t="s">
        <v>390</v>
      </c>
      <c r="B84" s="12">
        <v>41983</v>
      </c>
      <c r="C84" s="13" t="s">
        <v>386</v>
      </c>
      <c r="D84" s="9" t="s">
        <v>391</v>
      </c>
      <c r="E84" s="9" t="s">
        <v>392</v>
      </c>
      <c r="F84" s="9" t="s">
        <v>53</v>
      </c>
      <c r="G84" s="9" t="s">
        <v>62</v>
      </c>
      <c r="H84" s="9" t="s">
        <v>63</v>
      </c>
      <c r="I84" s="9" t="s">
        <v>55</v>
      </c>
      <c r="J84" s="9" t="s">
        <v>36</v>
      </c>
      <c r="K84" s="9" t="s">
        <v>45</v>
      </c>
      <c r="L84" s="9" t="s">
        <v>57</v>
      </c>
      <c r="M84" s="9">
        <v>2485.4699999999998</v>
      </c>
      <c r="N84" s="9">
        <v>8</v>
      </c>
      <c r="O84" s="9">
        <v>0.1</v>
      </c>
      <c r="P84" s="9">
        <v>469.6</v>
      </c>
      <c r="Q84" s="9" t="s">
        <v>47</v>
      </c>
      <c r="R84" s="9" t="s">
        <v>83</v>
      </c>
    </row>
    <row r="85" spans="1:18">
      <c r="A85" s="9" t="s">
        <v>393</v>
      </c>
      <c r="B85" s="12">
        <v>42072</v>
      </c>
      <c r="C85" s="12">
        <v>42225</v>
      </c>
      <c r="D85" s="9" t="s">
        <v>394</v>
      </c>
      <c r="E85" s="9" t="s">
        <v>395</v>
      </c>
      <c r="F85" s="9" t="s">
        <v>21</v>
      </c>
      <c r="G85" s="9" t="s">
        <v>33</v>
      </c>
      <c r="H85" s="9" t="s">
        <v>23</v>
      </c>
      <c r="I85" s="9" t="s">
        <v>76</v>
      </c>
      <c r="J85" s="9" t="s">
        <v>110</v>
      </c>
      <c r="K85" s="9" t="s">
        <v>56</v>
      </c>
      <c r="L85" s="9" t="s">
        <v>91</v>
      </c>
      <c r="M85" s="9">
        <v>864.84</v>
      </c>
      <c r="N85" s="9">
        <v>1</v>
      </c>
      <c r="O85" s="9">
        <v>0.25</v>
      </c>
      <c r="P85" s="9">
        <v>83.12</v>
      </c>
      <c r="Q85" s="9" t="s">
        <v>67</v>
      </c>
      <c r="R85" s="9" t="s">
        <v>48</v>
      </c>
    </row>
    <row r="86" spans="1:18">
      <c r="A86" s="9" t="s">
        <v>396</v>
      </c>
      <c r="B86" s="13" t="s">
        <v>397</v>
      </c>
      <c r="C86" s="13" t="s">
        <v>398</v>
      </c>
      <c r="D86" s="9" t="s">
        <v>399</v>
      </c>
      <c r="E86" s="9" t="s">
        <v>400</v>
      </c>
      <c r="F86" s="9" t="s">
        <v>43</v>
      </c>
      <c r="G86" s="9" t="s">
        <v>54</v>
      </c>
      <c r="H86" s="9" t="s">
        <v>44</v>
      </c>
      <c r="I86" s="9" t="s">
        <v>35</v>
      </c>
      <c r="J86" s="9" t="s">
        <v>110</v>
      </c>
      <c r="K86" s="9" t="s">
        <v>56</v>
      </c>
      <c r="L86" s="9" t="s">
        <v>72</v>
      </c>
      <c r="M86" s="9">
        <v>4149.6099999999997</v>
      </c>
      <c r="N86" s="9">
        <v>4</v>
      </c>
      <c r="O86" s="9">
        <v>0.08</v>
      </c>
      <c r="P86" s="9">
        <v>875.16</v>
      </c>
      <c r="Q86" s="9" t="s">
        <v>28</v>
      </c>
      <c r="R86" s="9" t="s">
        <v>38</v>
      </c>
    </row>
    <row r="87" spans="1:18">
      <c r="A87" s="9" t="s">
        <v>401</v>
      </c>
      <c r="B87" s="13" t="s">
        <v>402</v>
      </c>
      <c r="C87" s="13" t="s">
        <v>403</v>
      </c>
      <c r="D87" s="9" t="s">
        <v>404</v>
      </c>
      <c r="E87" s="9" t="s">
        <v>405</v>
      </c>
      <c r="F87" s="9" t="s">
        <v>53</v>
      </c>
      <c r="G87" s="9" t="s">
        <v>54</v>
      </c>
      <c r="H87" s="9" t="s">
        <v>95</v>
      </c>
      <c r="I87" s="9" t="s">
        <v>64</v>
      </c>
      <c r="J87" s="9" t="s">
        <v>110</v>
      </c>
      <c r="K87" s="9" t="s">
        <v>65</v>
      </c>
      <c r="L87" s="9" t="s">
        <v>37</v>
      </c>
      <c r="M87" s="9">
        <v>1831.24</v>
      </c>
      <c r="N87" s="9">
        <v>3</v>
      </c>
      <c r="O87" s="9">
        <v>0.28000000000000003</v>
      </c>
      <c r="P87" s="9">
        <v>120.76</v>
      </c>
      <c r="Q87" s="9" t="s">
        <v>58</v>
      </c>
      <c r="R87" s="9" t="s">
        <v>29</v>
      </c>
    </row>
    <row r="88" spans="1:18">
      <c r="A88" s="9" t="s">
        <v>406</v>
      </c>
      <c r="B88" s="13" t="s">
        <v>407</v>
      </c>
      <c r="C88" s="12">
        <v>42777</v>
      </c>
      <c r="D88" s="9" t="s">
        <v>408</v>
      </c>
      <c r="E88" s="9" t="s">
        <v>409</v>
      </c>
      <c r="F88" s="9" t="s">
        <v>53</v>
      </c>
      <c r="G88" s="9" t="s">
        <v>62</v>
      </c>
      <c r="H88" s="9" t="s">
        <v>95</v>
      </c>
      <c r="I88" s="9" t="s">
        <v>55</v>
      </c>
      <c r="J88" s="9" t="s">
        <v>25</v>
      </c>
      <c r="K88" s="9" t="s">
        <v>26</v>
      </c>
      <c r="L88" s="9" t="s">
        <v>37</v>
      </c>
      <c r="M88" s="9">
        <v>4702.96</v>
      </c>
      <c r="N88" s="9">
        <v>2</v>
      </c>
      <c r="O88" s="9">
        <v>0.01</v>
      </c>
      <c r="P88" s="9">
        <v>714.59</v>
      </c>
      <c r="Q88" s="9" t="s">
        <v>47</v>
      </c>
      <c r="R88" s="9" t="s">
        <v>83</v>
      </c>
    </row>
    <row r="89" spans="1:18">
      <c r="A89" s="9" t="s">
        <v>410</v>
      </c>
      <c r="B89" s="13" t="s">
        <v>407</v>
      </c>
      <c r="C89" s="12">
        <v>42777</v>
      </c>
      <c r="D89" s="9" t="s">
        <v>411</v>
      </c>
      <c r="E89" s="9" t="s">
        <v>412</v>
      </c>
      <c r="F89" s="9" t="s">
        <v>43</v>
      </c>
      <c r="G89" s="9" t="s">
        <v>22</v>
      </c>
      <c r="H89" s="9" t="s">
        <v>23</v>
      </c>
      <c r="I89" s="9" t="s">
        <v>35</v>
      </c>
      <c r="J89" s="9" t="s">
        <v>110</v>
      </c>
      <c r="K89" s="9" t="s">
        <v>56</v>
      </c>
      <c r="L89" s="9" t="s">
        <v>322</v>
      </c>
      <c r="M89" s="9">
        <v>895.84</v>
      </c>
      <c r="N89" s="9">
        <v>6</v>
      </c>
      <c r="O89" s="9">
        <v>0.12</v>
      </c>
      <c r="P89" s="9">
        <v>157.34</v>
      </c>
      <c r="Q89" s="9" t="s">
        <v>58</v>
      </c>
      <c r="R89" s="9" t="s">
        <v>29</v>
      </c>
    </row>
    <row r="90" spans="1:18">
      <c r="A90" s="9" t="s">
        <v>413</v>
      </c>
      <c r="B90" s="12">
        <v>42494</v>
      </c>
      <c r="C90" s="12">
        <v>42647</v>
      </c>
      <c r="D90" s="9" t="s">
        <v>414</v>
      </c>
      <c r="E90" s="9" t="s">
        <v>415</v>
      </c>
      <c r="F90" s="9" t="s">
        <v>21</v>
      </c>
      <c r="G90" s="9" t="s">
        <v>33</v>
      </c>
      <c r="H90" s="9" t="s">
        <v>95</v>
      </c>
      <c r="I90" s="9" t="s">
        <v>64</v>
      </c>
      <c r="J90" s="9" t="s">
        <v>110</v>
      </c>
      <c r="K90" s="9" t="s">
        <v>26</v>
      </c>
      <c r="L90" s="9" t="s">
        <v>139</v>
      </c>
      <c r="M90" s="9">
        <v>1918.93</v>
      </c>
      <c r="N90" s="9">
        <v>9</v>
      </c>
      <c r="O90" s="9">
        <v>0.11</v>
      </c>
      <c r="P90" s="9">
        <v>338.3</v>
      </c>
      <c r="Q90" s="9" t="s">
        <v>67</v>
      </c>
      <c r="R90" s="9" t="s">
        <v>83</v>
      </c>
    </row>
    <row r="91" spans="1:18">
      <c r="A91" s="9" t="s">
        <v>416</v>
      </c>
      <c r="B91" s="13" t="s">
        <v>417</v>
      </c>
      <c r="C91" s="13" t="s">
        <v>418</v>
      </c>
      <c r="D91" s="9" t="s">
        <v>419</v>
      </c>
      <c r="E91" s="9" t="s">
        <v>420</v>
      </c>
      <c r="F91" s="9" t="s">
        <v>21</v>
      </c>
      <c r="G91" s="9" t="s">
        <v>33</v>
      </c>
      <c r="H91" s="9" t="s">
        <v>44</v>
      </c>
      <c r="I91" s="9" t="s">
        <v>76</v>
      </c>
      <c r="J91" s="9" t="s">
        <v>25</v>
      </c>
      <c r="K91" s="9" t="s">
        <v>45</v>
      </c>
      <c r="L91" s="9" t="s">
        <v>421</v>
      </c>
      <c r="M91" s="9">
        <v>1953.71</v>
      </c>
      <c r="N91" s="9">
        <v>1</v>
      </c>
      <c r="O91" s="9">
        <v>0.26</v>
      </c>
      <c r="P91" s="9">
        <v>680.05</v>
      </c>
      <c r="Q91" s="9" t="s">
        <v>28</v>
      </c>
      <c r="R91" s="9" t="s">
        <v>48</v>
      </c>
    </row>
    <row r="92" spans="1:18">
      <c r="A92" s="9" t="s">
        <v>422</v>
      </c>
      <c r="B92" s="13" t="s">
        <v>417</v>
      </c>
      <c r="C92" s="13" t="s">
        <v>418</v>
      </c>
      <c r="D92" s="9" t="s">
        <v>423</v>
      </c>
      <c r="E92" s="9" t="s">
        <v>424</v>
      </c>
      <c r="F92" s="9" t="s">
        <v>43</v>
      </c>
      <c r="G92" s="9" t="s">
        <v>62</v>
      </c>
      <c r="H92" s="9" t="s">
        <v>63</v>
      </c>
      <c r="I92" s="9" t="s">
        <v>76</v>
      </c>
      <c r="J92" s="9" t="s">
        <v>110</v>
      </c>
      <c r="K92" s="9" t="s">
        <v>56</v>
      </c>
      <c r="L92" s="9" t="s">
        <v>225</v>
      </c>
      <c r="M92" s="9">
        <v>3863.59</v>
      </c>
      <c r="N92" s="9">
        <v>4</v>
      </c>
      <c r="O92" s="9">
        <v>0.16</v>
      </c>
      <c r="P92" s="9">
        <v>1157.47</v>
      </c>
      <c r="Q92" s="9" t="s">
        <v>100</v>
      </c>
      <c r="R92" s="9" t="s">
        <v>38</v>
      </c>
    </row>
    <row r="93" spans="1:18">
      <c r="A93" s="9" t="s">
        <v>425</v>
      </c>
      <c r="B93" s="13" t="s">
        <v>417</v>
      </c>
      <c r="C93" s="13" t="s">
        <v>418</v>
      </c>
      <c r="D93" s="9" t="s">
        <v>223</v>
      </c>
      <c r="E93" s="9" t="s">
        <v>426</v>
      </c>
      <c r="F93" s="9" t="s">
        <v>21</v>
      </c>
      <c r="G93" s="9" t="s">
        <v>62</v>
      </c>
      <c r="H93" s="9" t="s">
        <v>63</v>
      </c>
      <c r="I93" s="9" t="s">
        <v>64</v>
      </c>
      <c r="J93" s="9" t="s">
        <v>25</v>
      </c>
      <c r="K93" s="9" t="s">
        <v>45</v>
      </c>
      <c r="L93" s="9" t="s">
        <v>303</v>
      </c>
      <c r="M93" s="9">
        <v>2754.41</v>
      </c>
      <c r="N93" s="9">
        <v>8</v>
      </c>
      <c r="O93" s="9">
        <v>0.2</v>
      </c>
      <c r="P93" s="9">
        <v>777.04</v>
      </c>
      <c r="Q93" s="9" t="s">
        <v>100</v>
      </c>
      <c r="R93" s="9" t="s">
        <v>83</v>
      </c>
    </row>
    <row r="94" spans="1:18">
      <c r="A94" s="9" t="s">
        <v>427</v>
      </c>
      <c r="B94" s="13" t="s">
        <v>428</v>
      </c>
      <c r="C94" s="12">
        <v>42126</v>
      </c>
      <c r="D94" s="9" t="s">
        <v>206</v>
      </c>
      <c r="E94" s="9" t="s">
        <v>429</v>
      </c>
      <c r="F94" s="9" t="s">
        <v>21</v>
      </c>
      <c r="G94" s="9" t="s">
        <v>22</v>
      </c>
      <c r="H94" s="9" t="s">
        <v>95</v>
      </c>
      <c r="I94" s="9" t="s">
        <v>76</v>
      </c>
      <c r="J94" s="9" t="s">
        <v>25</v>
      </c>
      <c r="K94" s="9" t="s">
        <v>77</v>
      </c>
      <c r="L94" s="9" t="s">
        <v>310</v>
      </c>
      <c r="M94" s="9">
        <v>1458.96</v>
      </c>
      <c r="N94" s="9">
        <v>8</v>
      </c>
      <c r="O94" s="9">
        <v>0.13</v>
      </c>
      <c r="P94" s="9">
        <v>277.88</v>
      </c>
      <c r="Q94" s="9" t="s">
        <v>28</v>
      </c>
      <c r="R94" s="9" t="s">
        <v>48</v>
      </c>
    </row>
    <row r="95" spans="1:18">
      <c r="A95" s="9" t="s">
        <v>430</v>
      </c>
      <c r="B95" s="13" t="s">
        <v>428</v>
      </c>
      <c r="C95" s="12">
        <v>42126</v>
      </c>
      <c r="D95" s="9" t="s">
        <v>431</v>
      </c>
      <c r="E95" s="9" t="s">
        <v>432</v>
      </c>
      <c r="F95" s="9" t="s">
        <v>43</v>
      </c>
      <c r="G95" s="9" t="s">
        <v>54</v>
      </c>
      <c r="H95" s="9" t="s">
        <v>95</v>
      </c>
      <c r="I95" s="9" t="s">
        <v>55</v>
      </c>
      <c r="J95" s="9" t="s">
        <v>25</v>
      </c>
      <c r="K95" s="9" t="s">
        <v>56</v>
      </c>
      <c r="L95" s="9" t="s">
        <v>111</v>
      </c>
      <c r="M95" s="9">
        <v>3899.94</v>
      </c>
      <c r="N95" s="9">
        <v>4</v>
      </c>
      <c r="O95" s="9">
        <v>0.17</v>
      </c>
      <c r="P95" s="9">
        <v>492.53</v>
      </c>
      <c r="Q95" s="9" t="s">
        <v>47</v>
      </c>
      <c r="R95" s="9" t="s">
        <v>83</v>
      </c>
    </row>
    <row r="96" spans="1:18">
      <c r="A96" s="9" t="s">
        <v>433</v>
      </c>
      <c r="B96" s="13" t="s">
        <v>428</v>
      </c>
      <c r="C96" s="12">
        <v>42126</v>
      </c>
      <c r="D96" s="9" t="s">
        <v>434</v>
      </c>
      <c r="E96" s="9" t="s">
        <v>435</v>
      </c>
      <c r="F96" s="9" t="s">
        <v>21</v>
      </c>
      <c r="G96" s="9" t="s">
        <v>62</v>
      </c>
      <c r="H96" s="9" t="s">
        <v>63</v>
      </c>
      <c r="I96" s="9" t="s">
        <v>55</v>
      </c>
      <c r="J96" s="9" t="s">
        <v>25</v>
      </c>
      <c r="K96" s="9" t="s">
        <v>45</v>
      </c>
      <c r="L96" s="9" t="s">
        <v>188</v>
      </c>
      <c r="M96" s="9">
        <v>1863.66</v>
      </c>
      <c r="N96" s="9">
        <v>9</v>
      </c>
      <c r="O96" s="9">
        <v>0.27</v>
      </c>
      <c r="P96" s="9">
        <v>431.31</v>
      </c>
      <c r="Q96" s="9" t="s">
        <v>58</v>
      </c>
      <c r="R96" s="9" t="s">
        <v>83</v>
      </c>
    </row>
    <row r="97" spans="1:18">
      <c r="A97" s="9" t="s">
        <v>436</v>
      </c>
      <c r="B97" s="12">
        <v>42897</v>
      </c>
      <c r="C97" s="12">
        <v>43080</v>
      </c>
      <c r="D97" s="9" t="s">
        <v>437</v>
      </c>
      <c r="E97" s="9" t="s">
        <v>438</v>
      </c>
      <c r="F97" s="9" t="s">
        <v>21</v>
      </c>
      <c r="G97" s="9" t="s">
        <v>62</v>
      </c>
      <c r="H97" s="9" t="s">
        <v>34</v>
      </c>
      <c r="I97" s="9" t="s">
        <v>55</v>
      </c>
      <c r="J97" s="9" t="s">
        <v>110</v>
      </c>
      <c r="K97" s="9" t="s">
        <v>65</v>
      </c>
      <c r="L97" s="9" t="s">
        <v>439</v>
      </c>
      <c r="M97" s="9">
        <v>1067.43</v>
      </c>
      <c r="N97" s="9">
        <v>8</v>
      </c>
      <c r="O97" s="9">
        <v>0.11</v>
      </c>
      <c r="P97" s="9">
        <v>139.09</v>
      </c>
      <c r="Q97" s="9" t="s">
        <v>47</v>
      </c>
      <c r="R97" s="9" t="s">
        <v>29</v>
      </c>
    </row>
    <row r="98" spans="1:18">
      <c r="A98" s="9" t="s">
        <v>440</v>
      </c>
      <c r="B98" s="12">
        <v>42989</v>
      </c>
      <c r="C98" s="12">
        <v>43050</v>
      </c>
      <c r="D98" s="9" t="s">
        <v>441</v>
      </c>
      <c r="E98" s="9" t="s">
        <v>442</v>
      </c>
      <c r="F98" s="9" t="s">
        <v>53</v>
      </c>
      <c r="G98" s="9" t="s">
        <v>33</v>
      </c>
      <c r="H98" s="9" t="s">
        <v>44</v>
      </c>
      <c r="I98" s="9" t="s">
        <v>35</v>
      </c>
      <c r="J98" s="9" t="s">
        <v>110</v>
      </c>
      <c r="K98" s="9" t="s">
        <v>45</v>
      </c>
      <c r="L98" s="9" t="s">
        <v>157</v>
      </c>
      <c r="M98" s="9">
        <v>3038.54</v>
      </c>
      <c r="N98" s="9">
        <v>10</v>
      </c>
      <c r="O98" s="9">
        <v>0.14000000000000001</v>
      </c>
      <c r="P98" s="9">
        <v>935.16</v>
      </c>
      <c r="Q98" s="9" t="s">
        <v>58</v>
      </c>
      <c r="R98" s="9" t="s">
        <v>29</v>
      </c>
    </row>
    <row r="99" spans="1:18">
      <c r="A99" s="9" t="s">
        <v>443</v>
      </c>
      <c r="B99" s="13" t="s">
        <v>444</v>
      </c>
      <c r="C99" s="13" t="s">
        <v>445</v>
      </c>
      <c r="D99" s="9" t="s">
        <v>446</v>
      </c>
      <c r="E99" s="9" t="s">
        <v>447</v>
      </c>
      <c r="F99" s="9" t="s">
        <v>43</v>
      </c>
      <c r="G99" s="9" t="s">
        <v>62</v>
      </c>
      <c r="H99" s="9" t="s">
        <v>44</v>
      </c>
      <c r="I99" s="9" t="s">
        <v>35</v>
      </c>
      <c r="J99" s="9" t="s">
        <v>110</v>
      </c>
      <c r="K99" s="9" t="s">
        <v>77</v>
      </c>
      <c r="L99" s="9" t="s">
        <v>157</v>
      </c>
      <c r="M99" s="9">
        <v>4402.57</v>
      </c>
      <c r="N99" s="9">
        <v>2</v>
      </c>
      <c r="O99" s="9">
        <v>0.14000000000000001</v>
      </c>
      <c r="P99" s="9">
        <v>1388.61</v>
      </c>
      <c r="Q99" s="9" t="s">
        <v>100</v>
      </c>
      <c r="R99" s="9" t="s">
        <v>29</v>
      </c>
    </row>
    <row r="100" spans="1:18">
      <c r="A100" s="9" t="s">
        <v>448</v>
      </c>
      <c r="B100" s="12">
        <v>42530</v>
      </c>
      <c r="C100" s="12">
        <v>42683</v>
      </c>
      <c r="D100" s="9" t="s">
        <v>449</v>
      </c>
      <c r="E100" s="9" t="s">
        <v>450</v>
      </c>
      <c r="F100" s="9" t="s">
        <v>43</v>
      </c>
      <c r="G100" s="9" t="s">
        <v>54</v>
      </c>
      <c r="H100" s="9" t="s">
        <v>63</v>
      </c>
      <c r="I100" s="9" t="s">
        <v>76</v>
      </c>
      <c r="J100" s="9" t="s">
        <v>25</v>
      </c>
      <c r="K100" s="9" t="s">
        <v>77</v>
      </c>
      <c r="L100" s="9" t="s">
        <v>229</v>
      </c>
      <c r="M100" s="9">
        <v>4931.09</v>
      </c>
      <c r="N100" s="9">
        <v>3</v>
      </c>
      <c r="O100" s="9">
        <v>0.2</v>
      </c>
      <c r="P100" s="9">
        <v>1589.75</v>
      </c>
      <c r="Q100" s="9" t="s">
        <v>67</v>
      </c>
      <c r="R100" s="9" t="s">
        <v>29</v>
      </c>
    </row>
    <row r="101" spans="1:18">
      <c r="A101" s="9" t="s">
        <v>451</v>
      </c>
      <c r="B101" s="9" t="s">
        <v>452</v>
      </c>
      <c r="C101" s="12">
        <v>42409</v>
      </c>
      <c r="D101" s="9" t="s">
        <v>453</v>
      </c>
      <c r="E101" s="9" t="s">
        <v>454</v>
      </c>
      <c r="F101" s="9" t="s">
        <v>43</v>
      </c>
      <c r="G101" s="9" t="s">
        <v>62</v>
      </c>
      <c r="H101" s="9" t="s">
        <v>63</v>
      </c>
      <c r="I101" s="9" t="s">
        <v>76</v>
      </c>
      <c r="J101" s="9" t="s">
        <v>36</v>
      </c>
      <c r="K101" s="9" t="s">
        <v>65</v>
      </c>
      <c r="L101" s="9" t="s">
        <v>91</v>
      </c>
      <c r="M101" s="9">
        <v>1028.25</v>
      </c>
      <c r="N101" s="9">
        <v>6</v>
      </c>
      <c r="O101" s="9">
        <v>0.28000000000000003</v>
      </c>
      <c r="P101" s="9">
        <v>211.85</v>
      </c>
      <c r="Q101" s="9" t="s">
        <v>58</v>
      </c>
      <c r="R101" s="9" t="s">
        <v>29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"/>
  <sheetViews>
    <sheetView zoomScale="65" zoomScaleNormal="31" workbookViewId="0">
      <selection activeCell="K13" sqref="K13"/>
    </sheetView>
  </sheetViews>
  <sheetFormatPr defaultColWidth="9" defaultRowHeight="14.4"/>
  <cols>
    <col min="1" max="1" width="12.88671875" customWidth="1"/>
    <col min="2" max="2" width="13.77734375" style="5" customWidth="1"/>
    <col min="3" max="3" width="16.33203125" style="24" customWidth="1"/>
    <col min="4" max="4" width="15.33203125" customWidth="1"/>
    <col min="5" max="5" width="19.33203125" customWidth="1"/>
    <col min="6" max="6" width="16.21875" customWidth="1"/>
    <col min="7" max="7" width="14.77734375" customWidth="1"/>
    <col min="8" max="8" width="14" customWidth="1"/>
    <col min="9" max="9" width="14.77734375" customWidth="1"/>
    <col min="10" max="10" width="14.33203125" customWidth="1"/>
    <col min="11" max="11" width="17.77734375" customWidth="1"/>
    <col min="12" max="12" width="15.33203125" customWidth="1"/>
    <col min="13" max="13" width="11.77734375" style="6" customWidth="1"/>
    <col min="14" max="14" width="11" customWidth="1"/>
    <col min="15" max="15" width="13.44140625" style="7" customWidth="1"/>
    <col min="16" max="16" width="13.44140625" style="6" customWidth="1"/>
    <col min="17" max="17" width="12.21875" customWidth="1"/>
    <col min="18" max="18" width="21.21875" customWidth="1"/>
  </cols>
  <sheetData>
    <row r="1" spans="1:18" ht="15">
      <c r="A1" s="8" t="s">
        <v>0</v>
      </c>
      <c r="B1" s="14" t="s">
        <v>455</v>
      </c>
      <c r="C1" s="2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8" t="s">
        <v>13</v>
      </c>
      <c r="O1" s="11" t="s">
        <v>14</v>
      </c>
      <c r="P1" s="10" t="s">
        <v>15</v>
      </c>
      <c r="Q1" s="8" t="s">
        <v>16</v>
      </c>
      <c r="R1" s="8" t="s">
        <v>17</v>
      </c>
    </row>
    <row r="2" spans="1:18" ht="15.6">
      <c r="A2" s="15" t="s">
        <v>18</v>
      </c>
      <c r="B2" s="16">
        <v>42593</v>
      </c>
      <c r="C2" s="22">
        <v>44146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 t="s">
        <v>25</v>
      </c>
      <c r="K2" s="15" t="s">
        <v>26</v>
      </c>
      <c r="L2" s="15" t="s">
        <v>27</v>
      </c>
      <c r="M2" s="17">
        <v>1001.58</v>
      </c>
      <c r="N2" s="15">
        <v>8</v>
      </c>
      <c r="O2" s="18">
        <v>0.12</v>
      </c>
      <c r="P2" s="17">
        <v>142.51</v>
      </c>
      <c r="Q2" s="15" t="s">
        <v>28</v>
      </c>
      <c r="R2" s="15" t="s">
        <v>29</v>
      </c>
    </row>
    <row r="3" spans="1:18" ht="15.6">
      <c r="A3" s="15" t="s">
        <v>30</v>
      </c>
      <c r="B3" s="16">
        <v>44143</v>
      </c>
      <c r="C3" s="23">
        <v>44146</v>
      </c>
      <c r="D3" s="15" t="s">
        <v>31</v>
      </c>
      <c r="E3" s="15" t="s">
        <v>32</v>
      </c>
      <c r="F3" s="15" t="s">
        <v>21</v>
      </c>
      <c r="G3" s="15" t="s">
        <v>33</v>
      </c>
      <c r="H3" s="15" t="s">
        <v>34</v>
      </c>
      <c r="I3" s="15" t="s">
        <v>35</v>
      </c>
      <c r="J3" s="15" t="s">
        <v>36</v>
      </c>
      <c r="K3" s="15" t="s">
        <v>26</v>
      </c>
      <c r="L3" s="15" t="s">
        <v>37</v>
      </c>
      <c r="M3" s="17">
        <v>4468.0600000000004</v>
      </c>
      <c r="N3" s="15">
        <v>1</v>
      </c>
      <c r="O3" s="18">
        <v>0.1</v>
      </c>
      <c r="P3" s="17">
        <v>250.04</v>
      </c>
      <c r="Q3" s="15" t="s">
        <v>28</v>
      </c>
      <c r="R3" s="15" t="s">
        <v>38</v>
      </c>
    </row>
    <row r="4" spans="1:18" ht="15.6">
      <c r="A4" s="15" t="s">
        <v>39</v>
      </c>
      <c r="B4" s="16">
        <v>43994</v>
      </c>
      <c r="C4" s="22">
        <v>43998</v>
      </c>
      <c r="D4" s="15" t="s">
        <v>41</v>
      </c>
      <c r="E4" s="15" t="s">
        <v>42</v>
      </c>
      <c r="F4" s="15" t="s">
        <v>43</v>
      </c>
      <c r="G4" s="15" t="s">
        <v>33</v>
      </c>
      <c r="H4" s="15" t="s">
        <v>44</v>
      </c>
      <c r="I4" s="15" t="s">
        <v>24</v>
      </c>
      <c r="J4" s="15" t="s">
        <v>36</v>
      </c>
      <c r="K4" s="15" t="s">
        <v>45</v>
      </c>
      <c r="L4" s="15" t="s">
        <v>46</v>
      </c>
      <c r="M4" s="17">
        <v>2842.6</v>
      </c>
      <c r="N4" s="15">
        <v>1</v>
      </c>
      <c r="O4" s="18">
        <v>0.24</v>
      </c>
      <c r="P4" s="17">
        <v>361.62</v>
      </c>
      <c r="Q4" s="15" t="s">
        <v>47</v>
      </c>
      <c r="R4" s="15" t="s">
        <v>48</v>
      </c>
    </row>
    <row r="5" spans="1:18" ht="15.6">
      <c r="A5" s="15" t="s">
        <v>49</v>
      </c>
      <c r="B5" s="16">
        <v>43749</v>
      </c>
      <c r="C5" s="23">
        <v>43756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44</v>
      </c>
      <c r="I5" s="15" t="s">
        <v>55</v>
      </c>
      <c r="J5" s="15" t="s">
        <v>25</v>
      </c>
      <c r="K5" s="15" t="s">
        <v>56</v>
      </c>
      <c r="L5" s="15" t="s">
        <v>57</v>
      </c>
      <c r="M5" s="17">
        <v>4667.41</v>
      </c>
      <c r="N5" s="15">
        <v>5</v>
      </c>
      <c r="O5" s="18">
        <v>0.03</v>
      </c>
      <c r="P5" s="17">
        <v>529.16</v>
      </c>
      <c r="Q5" s="15" t="s">
        <v>58</v>
      </c>
      <c r="R5" s="15" t="s">
        <v>38</v>
      </c>
    </row>
    <row r="6" spans="1:18" ht="15.6">
      <c r="A6" s="15" t="s">
        <v>59</v>
      </c>
      <c r="B6" s="16">
        <v>43749</v>
      </c>
      <c r="C6" s="22">
        <v>43756</v>
      </c>
      <c r="D6" s="15" t="s">
        <v>60</v>
      </c>
      <c r="E6" s="15" t="s">
        <v>61</v>
      </c>
      <c r="F6" s="15" t="s">
        <v>21</v>
      </c>
      <c r="G6" s="15" t="s">
        <v>62</v>
      </c>
      <c r="H6" s="15" t="s">
        <v>63</v>
      </c>
      <c r="I6" s="15" t="s">
        <v>64</v>
      </c>
      <c r="J6" s="15" t="s">
        <v>25</v>
      </c>
      <c r="K6" s="15" t="s">
        <v>65</v>
      </c>
      <c r="L6" s="15" t="s">
        <v>66</v>
      </c>
      <c r="M6" s="17">
        <v>3014.29</v>
      </c>
      <c r="N6" s="15">
        <v>7</v>
      </c>
      <c r="O6" s="18">
        <v>0.18</v>
      </c>
      <c r="P6" s="17">
        <v>909.5</v>
      </c>
      <c r="Q6" s="15" t="s">
        <v>67</v>
      </c>
      <c r="R6" s="15" t="s">
        <v>38</v>
      </c>
    </row>
    <row r="7" spans="1:18" ht="15.6">
      <c r="A7" s="15" t="s">
        <v>68</v>
      </c>
      <c r="B7" s="16">
        <v>43260</v>
      </c>
      <c r="C7" s="23">
        <v>43265</v>
      </c>
      <c r="D7" s="15" t="s">
        <v>70</v>
      </c>
      <c r="E7" s="15" t="s">
        <v>71</v>
      </c>
      <c r="F7" s="15" t="s">
        <v>53</v>
      </c>
      <c r="G7" s="15" t="s">
        <v>22</v>
      </c>
      <c r="H7" s="15" t="s">
        <v>34</v>
      </c>
      <c r="I7" s="15" t="s">
        <v>35</v>
      </c>
      <c r="J7" s="15" t="s">
        <v>36</v>
      </c>
      <c r="K7" s="15" t="s">
        <v>65</v>
      </c>
      <c r="L7" s="15" t="s">
        <v>72</v>
      </c>
      <c r="M7" s="17">
        <v>3383.51</v>
      </c>
      <c r="N7" s="15">
        <v>1</v>
      </c>
      <c r="O7" s="18">
        <v>0.2</v>
      </c>
      <c r="P7" s="17">
        <v>232.2</v>
      </c>
      <c r="Q7" s="15" t="s">
        <v>58</v>
      </c>
      <c r="R7" s="15" t="s">
        <v>48</v>
      </c>
    </row>
    <row r="8" spans="1:18" ht="15.6">
      <c r="A8" s="15" t="s">
        <v>73</v>
      </c>
      <c r="B8" s="16">
        <v>43260</v>
      </c>
      <c r="C8" s="22">
        <v>43265</v>
      </c>
      <c r="D8" s="15" t="s">
        <v>74</v>
      </c>
      <c r="E8" s="15" t="s">
        <v>75</v>
      </c>
      <c r="F8" s="15" t="s">
        <v>21</v>
      </c>
      <c r="G8" s="15" t="s">
        <v>54</v>
      </c>
      <c r="H8" s="15" t="s">
        <v>34</v>
      </c>
      <c r="I8" s="15" t="s">
        <v>76</v>
      </c>
      <c r="J8" s="15" t="s">
        <v>25</v>
      </c>
      <c r="K8" s="15" t="s">
        <v>77</v>
      </c>
      <c r="L8" s="15" t="s">
        <v>78</v>
      </c>
      <c r="M8" s="17">
        <v>540.88</v>
      </c>
      <c r="N8" s="15">
        <v>2</v>
      </c>
      <c r="O8" s="18">
        <v>0.24</v>
      </c>
      <c r="P8" s="17">
        <v>54.89</v>
      </c>
      <c r="Q8" s="15" t="s">
        <v>67</v>
      </c>
      <c r="R8" s="15" t="s">
        <v>29</v>
      </c>
    </row>
    <row r="9" spans="1:18" ht="15.6">
      <c r="A9" s="15" t="s">
        <v>79</v>
      </c>
      <c r="B9" s="16">
        <v>43260</v>
      </c>
      <c r="C9" s="23">
        <v>43265</v>
      </c>
      <c r="D9" s="15" t="s">
        <v>80</v>
      </c>
      <c r="E9" s="15" t="s">
        <v>81</v>
      </c>
      <c r="F9" s="15" t="s">
        <v>53</v>
      </c>
      <c r="G9" s="15" t="s">
        <v>33</v>
      </c>
      <c r="H9" s="15" t="s">
        <v>34</v>
      </c>
      <c r="I9" s="15" t="s">
        <v>35</v>
      </c>
      <c r="J9" s="15" t="s">
        <v>25</v>
      </c>
      <c r="K9" s="15" t="s">
        <v>45</v>
      </c>
      <c r="L9" s="15" t="s">
        <v>82</v>
      </c>
      <c r="M9" s="17">
        <v>774.16</v>
      </c>
      <c r="N9" s="15">
        <v>9</v>
      </c>
      <c r="O9" s="18">
        <v>0.3</v>
      </c>
      <c r="P9" s="17">
        <v>194.42</v>
      </c>
      <c r="Q9" s="15" t="s">
        <v>47</v>
      </c>
      <c r="R9" s="15" t="s">
        <v>83</v>
      </c>
    </row>
    <row r="10" spans="1:18" ht="15.6">
      <c r="A10" s="15" t="s">
        <v>84</v>
      </c>
      <c r="B10" s="16">
        <v>43260</v>
      </c>
      <c r="C10" s="22">
        <v>43265</v>
      </c>
      <c r="D10" s="15" t="s">
        <v>85</v>
      </c>
      <c r="E10" s="15" t="s">
        <v>86</v>
      </c>
      <c r="F10" s="15" t="s">
        <v>43</v>
      </c>
      <c r="G10" s="15" t="s">
        <v>22</v>
      </c>
      <c r="H10" s="15" t="s">
        <v>23</v>
      </c>
      <c r="I10" s="15" t="s">
        <v>64</v>
      </c>
      <c r="J10" s="15" t="s">
        <v>25</v>
      </c>
      <c r="K10" s="15" t="s">
        <v>65</v>
      </c>
      <c r="L10" s="15" t="s">
        <v>87</v>
      </c>
      <c r="M10" s="17">
        <v>1537.65</v>
      </c>
      <c r="N10" s="15">
        <v>2</v>
      </c>
      <c r="O10" s="18">
        <v>0.22</v>
      </c>
      <c r="P10" s="17">
        <v>524.72</v>
      </c>
      <c r="Q10" s="15" t="s">
        <v>58</v>
      </c>
      <c r="R10" s="15" t="s">
        <v>48</v>
      </c>
    </row>
    <row r="11" spans="1:18" ht="15.6">
      <c r="A11" s="15" t="s">
        <v>88</v>
      </c>
      <c r="B11" s="16">
        <v>43260</v>
      </c>
      <c r="C11" s="23">
        <v>43265</v>
      </c>
      <c r="D11" s="15" t="s">
        <v>89</v>
      </c>
      <c r="E11" s="15" t="s">
        <v>90</v>
      </c>
      <c r="F11" s="15" t="s">
        <v>53</v>
      </c>
      <c r="G11" s="15" t="s">
        <v>33</v>
      </c>
      <c r="H11" s="15" t="s">
        <v>44</v>
      </c>
      <c r="I11" s="15" t="s">
        <v>55</v>
      </c>
      <c r="J11" s="15" t="s">
        <v>36</v>
      </c>
      <c r="K11" s="15" t="s">
        <v>26</v>
      </c>
      <c r="L11" s="15" t="s">
        <v>91</v>
      </c>
      <c r="M11" s="17">
        <v>1226.7</v>
      </c>
      <c r="N11" s="15">
        <v>4</v>
      </c>
      <c r="O11" s="18">
        <v>0.01</v>
      </c>
      <c r="P11" s="17">
        <v>383.95</v>
      </c>
      <c r="Q11" s="15" t="s">
        <v>58</v>
      </c>
      <c r="R11" s="15" t="s">
        <v>48</v>
      </c>
    </row>
    <row r="12" spans="1:18" ht="15.6">
      <c r="A12" s="15" t="s">
        <v>92</v>
      </c>
      <c r="B12" s="16">
        <v>43260</v>
      </c>
      <c r="C12" s="22">
        <v>43265</v>
      </c>
      <c r="D12" s="15" t="s">
        <v>93</v>
      </c>
      <c r="E12" s="15" t="s">
        <v>94</v>
      </c>
      <c r="F12" s="15" t="s">
        <v>53</v>
      </c>
      <c r="G12" s="15" t="s">
        <v>22</v>
      </c>
      <c r="H12" s="15" t="s">
        <v>95</v>
      </c>
      <c r="I12" s="15" t="s">
        <v>35</v>
      </c>
      <c r="J12" s="15" t="s">
        <v>36</v>
      </c>
      <c r="K12" s="15" t="s">
        <v>56</v>
      </c>
      <c r="L12" s="15" t="s">
        <v>96</v>
      </c>
      <c r="M12" s="17">
        <v>1694.48</v>
      </c>
      <c r="N12" s="15">
        <v>9</v>
      </c>
      <c r="O12" s="18">
        <v>0.14000000000000001</v>
      </c>
      <c r="P12" s="17">
        <v>398.56</v>
      </c>
      <c r="Q12" s="15" t="s">
        <v>28</v>
      </c>
      <c r="R12" s="15" t="s">
        <v>48</v>
      </c>
    </row>
    <row r="13" spans="1:18" ht="15.6">
      <c r="A13" s="15" t="s">
        <v>97</v>
      </c>
      <c r="B13" s="16">
        <v>43260</v>
      </c>
      <c r="C13" s="23">
        <v>43265</v>
      </c>
      <c r="D13" s="15" t="s">
        <v>98</v>
      </c>
      <c r="E13" s="15" t="s">
        <v>99</v>
      </c>
      <c r="F13" s="15" t="s">
        <v>43</v>
      </c>
      <c r="G13" s="15" t="s">
        <v>22</v>
      </c>
      <c r="H13" s="15" t="s">
        <v>23</v>
      </c>
      <c r="I13" s="15" t="s">
        <v>35</v>
      </c>
      <c r="J13" s="15" t="s">
        <v>25</v>
      </c>
      <c r="K13" s="15" t="s">
        <v>77</v>
      </c>
      <c r="L13" s="15" t="s">
        <v>82</v>
      </c>
      <c r="M13" s="17">
        <v>3812.16</v>
      </c>
      <c r="N13" s="15">
        <v>1</v>
      </c>
      <c r="O13" s="18">
        <v>0.24</v>
      </c>
      <c r="P13" s="17">
        <v>266.45999999999998</v>
      </c>
      <c r="Q13" s="15" t="s">
        <v>100</v>
      </c>
      <c r="R13" s="15" t="s">
        <v>48</v>
      </c>
    </row>
    <row r="14" spans="1:18" ht="15.6">
      <c r="A14" s="15" t="s">
        <v>101</v>
      </c>
      <c r="B14" s="16">
        <v>44301</v>
      </c>
      <c r="C14" s="22">
        <v>44306</v>
      </c>
      <c r="D14" s="15" t="s">
        <v>104</v>
      </c>
      <c r="E14" s="15" t="s">
        <v>105</v>
      </c>
      <c r="F14" s="15" t="s">
        <v>21</v>
      </c>
      <c r="G14" s="15" t="s">
        <v>54</v>
      </c>
      <c r="H14" s="15" t="s">
        <v>34</v>
      </c>
      <c r="I14" s="15" t="s">
        <v>55</v>
      </c>
      <c r="J14" s="15" t="s">
        <v>25</v>
      </c>
      <c r="K14" s="15" t="s">
        <v>77</v>
      </c>
      <c r="L14" s="15" t="s">
        <v>106</v>
      </c>
      <c r="M14" s="17">
        <v>2842.49</v>
      </c>
      <c r="N14" s="15">
        <v>1</v>
      </c>
      <c r="O14" s="18">
        <v>0.11</v>
      </c>
      <c r="P14" s="17">
        <v>925.85</v>
      </c>
      <c r="Q14" s="15" t="s">
        <v>67</v>
      </c>
      <c r="R14" s="15" t="s">
        <v>38</v>
      </c>
    </row>
    <row r="15" spans="1:18" ht="15.6">
      <c r="A15" s="15" t="s">
        <v>107</v>
      </c>
      <c r="B15" s="16">
        <v>44170</v>
      </c>
      <c r="C15" s="23">
        <v>44175</v>
      </c>
      <c r="D15" s="15" t="s">
        <v>108</v>
      </c>
      <c r="E15" s="15" t="s">
        <v>109</v>
      </c>
      <c r="F15" s="15" t="s">
        <v>53</v>
      </c>
      <c r="G15" s="15" t="s">
        <v>54</v>
      </c>
      <c r="H15" s="15" t="s">
        <v>23</v>
      </c>
      <c r="I15" s="15" t="s">
        <v>76</v>
      </c>
      <c r="J15" s="15" t="s">
        <v>110</v>
      </c>
      <c r="K15" s="15" t="s">
        <v>26</v>
      </c>
      <c r="L15" s="15" t="s">
        <v>111</v>
      </c>
      <c r="M15" s="17">
        <v>492.65</v>
      </c>
      <c r="N15" s="15">
        <v>4</v>
      </c>
      <c r="O15" s="18">
        <v>0.12</v>
      </c>
      <c r="P15" s="17">
        <v>115.59</v>
      </c>
      <c r="Q15" s="15" t="s">
        <v>58</v>
      </c>
      <c r="R15" s="15" t="s">
        <v>29</v>
      </c>
    </row>
    <row r="16" spans="1:18" ht="15.6">
      <c r="A16" s="15" t="s">
        <v>112</v>
      </c>
      <c r="B16" s="16">
        <v>43791</v>
      </c>
      <c r="C16" s="22">
        <v>43795</v>
      </c>
      <c r="D16" s="15" t="s">
        <v>115</v>
      </c>
      <c r="E16" s="15" t="s">
        <v>116</v>
      </c>
      <c r="F16" s="15" t="s">
        <v>21</v>
      </c>
      <c r="G16" s="15" t="s">
        <v>22</v>
      </c>
      <c r="H16" s="15" t="s">
        <v>63</v>
      </c>
      <c r="I16" s="15" t="s">
        <v>24</v>
      </c>
      <c r="J16" s="15" t="s">
        <v>110</v>
      </c>
      <c r="K16" s="15" t="s">
        <v>56</v>
      </c>
      <c r="L16" s="15" t="s">
        <v>46</v>
      </c>
      <c r="M16" s="17">
        <v>3811.3</v>
      </c>
      <c r="N16" s="15">
        <v>9</v>
      </c>
      <c r="O16" s="18">
        <v>0.22</v>
      </c>
      <c r="P16" s="17">
        <v>583.88</v>
      </c>
      <c r="Q16" s="15" t="s">
        <v>100</v>
      </c>
      <c r="R16" s="15" t="s">
        <v>48</v>
      </c>
    </row>
    <row r="17" spans="1:18" ht="15.6">
      <c r="A17" s="15" t="s">
        <v>117</v>
      </c>
      <c r="B17" s="16">
        <v>43791</v>
      </c>
      <c r="C17" s="23">
        <v>43795</v>
      </c>
      <c r="D17" s="15" t="s">
        <v>118</v>
      </c>
      <c r="E17" s="15" t="s">
        <v>119</v>
      </c>
      <c r="F17" s="15" t="s">
        <v>21</v>
      </c>
      <c r="G17" s="15" t="s">
        <v>54</v>
      </c>
      <c r="H17" s="15" t="s">
        <v>44</v>
      </c>
      <c r="I17" s="15" t="s">
        <v>35</v>
      </c>
      <c r="J17" s="15" t="s">
        <v>36</v>
      </c>
      <c r="K17" s="15" t="s">
        <v>26</v>
      </c>
      <c r="L17" s="15" t="s">
        <v>120</v>
      </c>
      <c r="M17" s="17">
        <v>527.84</v>
      </c>
      <c r="N17" s="15">
        <v>7</v>
      </c>
      <c r="O17" s="18">
        <v>0.08</v>
      </c>
      <c r="P17" s="17">
        <v>90.63</v>
      </c>
      <c r="Q17" s="15" t="s">
        <v>67</v>
      </c>
      <c r="R17" s="15" t="s">
        <v>38</v>
      </c>
    </row>
    <row r="18" spans="1:18" ht="15.6">
      <c r="A18" s="15" t="s">
        <v>121</v>
      </c>
      <c r="B18" s="16">
        <v>43415</v>
      </c>
      <c r="C18" s="22">
        <v>43422</v>
      </c>
      <c r="D18" s="15" t="s">
        <v>123</v>
      </c>
      <c r="E18" s="15" t="s">
        <v>124</v>
      </c>
      <c r="F18" s="15" t="s">
        <v>43</v>
      </c>
      <c r="G18" s="15" t="s">
        <v>54</v>
      </c>
      <c r="H18" s="15" t="s">
        <v>23</v>
      </c>
      <c r="I18" s="15" t="s">
        <v>76</v>
      </c>
      <c r="J18" s="15" t="s">
        <v>110</v>
      </c>
      <c r="K18" s="15" t="s">
        <v>65</v>
      </c>
      <c r="L18" s="15" t="s">
        <v>57</v>
      </c>
      <c r="M18" s="17">
        <v>188.72</v>
      </c>
      <c r="N18" s="15">
        <v>2</v>
      </c>
      <c r="O18" s="18">
        <v>7.0000000000000007E-2</v>
      </c>
      <c r="P18" s="17">
        <v>47.45</v>
      </c>
      <c r="Q18" s="15" t="s">
        <v>28</v>
      </c>
      <c r="R18" s="15" t="s">
        <v>83</v>
      </c>
    </row>
    <row r="19" spans="1:18" ht="15.6">
      <c r="A19" s="15" t="s">
        <v>125</v>
      </c>
      <c r="B19" s="16">
        <v>43233</v>
      </c>
      <c r="C19" s="23">
        <v>43235</v>
      </c>
      <c r="D19" s="15" t="s">
        <v>128</v>
      </c>
      <c r="E19" s="15" t="s">
        <v>129</v>
      </c>
      <c r="F19" s="15" t="s">
        <v>53</v>
      </c>
      <c r="G19" s="15" t="s">
        <v>54</v>
      </c>
      <c r="H19" s="15" t="s">
        <v>95</v>
      </c>
      <c r="I19" s="15" t="s">
        <v>64</v>
      </c>
      <c r="J19" s="15" t="s">
        <v>110</v>
      </c>
      <c r="K19" s="15" t="s">
        <v>65</v>
      </c>
      <c r="L19" s="15" t="s">
        <v>130</v>
      </c>
      <c r="M19" s="17">
        <v>1493.51</v>
      </c>
      <c r="N19" s="15">
        <v>6</v>
      </c>
      <c r="O19" s="18">
        <v>7.0000000000000007E-2</v>
      </c>
      <c r="P19" s="17">
        <v>151.04</v>
      </c>
      <c r="Q19" s="15" t="s">
        <v>47</v>
      </c>
      <c r="R19" s="15" t="s">
        <v>83</v>
      </c>
    </row>
    <row r="20" spans="1:18" ht="15.6">
      <c r="A20" s="15" t="s">
        <v>131</v>
      </c>
      <c r="B20" s="16">
        <v>43339</v>
      </c>
      <c r="C20" s="22">
        <v>43344</v>
      </c>
      <c r="D20" s="15" t="s">
        <v>133</v>
      </c>
      <c r="E20" s="15" t="s">
        <v>134</v>
      </c>
      <c r="F20" s="15" t="s">
        <v>21</v>
      </c>
      <c r="G20" s="15" t="s">
        <v>22</v>
      </c>
      <c r="H20" s="15" t="s">
        <v>63</v>
      </c>
      <c r="I20" s="15" t="s">
        <v>55</v>
      </c>
      <c r="J20" s="15" t="s">
        <v>36</v>
      </c>
      <c r="K20" s="15" t="s">
        <v>26</v>
      </c>
      <c r="L20" s="15" t="s">
        <v>135</v>
      </c>
      <c r="M20" s="17">
        <v>3740.31</v>
      </c>
      <c r="N20" s="15">
        <v>7</v>
      </c>
      <c r="O20" s="18">
        <v>7.0000000000000007E-2</v>
      </c>
      <c r="P20" s="17">
        <v>625.38</v>
      </c>
      <c r="Q20" s="15" t="s">
        <v>100</v>
      </c>
      <c r="R20" s="15" t="s">
        <v>29</v>
      </c>
    </row>
    <row r="21" spans="1:18" ht="15.6">
      <c r="A21" s="15" t="s">
        <v>136</v>
      </c>
      <c r="B21" s="16">
        <v>43339</v>
      </c>
      <c r="C21" s="23">
        <v>43344</v>
      </c>
      <c r="D21" s="15" t="s">
        <v>137</v>
      </c>
      <c r="E21" s="15" t="s">
        <v>138</v>
      </c>
      <c r="F21" s="15" t="s">
        <v>21</v>
      </c>
      <c r="G21" s="15" t="s">
        <v>33</v>
      </c>
      <c r="H21" s="15" t="s">
        <v>95</v>
      </c>
      <c r="I21" s="15" t="s">
        <v>24</v>
      </c>
      <c r="J21" s="15" t="s">
        <v>110</v>
      </c>
      <c r="K21" s="15" t="s">
        <v>26</v>
      </c>
      <c r="L21" s="15" t="s">
        <v>139</v>
      </c>
      <c r="M21" s="17">
        <v>2966.79</v>
      </c>
      <c r="N21" s="15">
        <v>8</v>
      </c>
      <c r="O21" s="18">
        <v>0.14000000000000001</v>
      </c>
      <c r="P21" s="17">
        <v>195.03</v>
      </c>
      <c r="Q21" s="15" t="s">
        <v>47</v>
      </c>
      <c r="R21" s="15" t="s">
        <v>48</v>
      </c>
    </row>
    <row r="22" spans="1:18" ht="15.6">
      <c r="A22" s="15" t="s">
        <v>140</v>
      </c>
      <c r="B22" s="16">
        <v>43339</v>
      </c>
      <c r="C22" s="22">
        <v>43344</v>
      </c>
      <c r="D22" s="15" t="s">
        <v>141</v>
      </c>
      <c r="E22" s="15" t="s">
        <v>142</v>
      </c>
      <c r="F22" s="15" t="s">
        <v>53</v>
      </c>
      <c r="G22" s="15" t="s">
        <v>33</v>
      </c>
      <c r="H22" s="15" t="s">
        <v>34</v>
      </c>
      <c r="I22" s="15" t="s">
        <v>76</v>
      </c>
      <c r="J22" s="15" t="s">
        <v>36</v>
      </c>
      <c r="K22" s="15" t="s">
        <v>26</v>
      </c>
      <c r="L22" s="15" t="s">
        <v>72</v>
      </c>
      <c r="M22" s="17">
        <v>785.48</v>
      </c>
      <c r="N22" s="15">
        <v>8</v>
      </c>
      <c r="O22" s="18">
        <v>0.06</v>
      </c>
      <c r="P22" s="17">
        <v>60.65</v>
      </c>
      <c r="Q22" s="15" t="s">
        <v>58</v>
      </c>
      <c r="R22" s="15" t="s">
        <v>83</v>
      </c>
    </row>
    <row r="23" spans="1:18" ht="15.6">
      <c r="A23" s="15" t="s">
        <v>143</v>
      </c>
      <c r="B23" s="16">
        <v>44174</v>
      </c>
      <c r="C23" s="23">
        <v>44178</v>
      </c>
      <c r="D23" s="15" t="s">
        <v>145</v>
      </c>
      <c r="E23" s="15" t="s">
        <v>146</v>
      </c>
      <c r="F23" s="15" t="s">
        <v>43</v>
      </c>
      <c r="G23" s="15" t="s">
        <v>33</v>
      </c>
      <c r="H23" s="15" t="s">
        <v>95</v>
      </c>
      <c r="I23" s="15" t="s">
        <v>35</v>
      </c>
      <c r="J23" s="15" t="s">
        <v>36</v>
      </c>
      <c r="K23" s="15" t="s">
        <v>65</v>
      </c>
      <c r="L23" s="15" t="s">
        <v>147</v>
      </c>
      <c r="M23" s="17">
        <v>1494.89</v>
      </c>
      <c r="N23" s="15">
        <v>6</v>
      </c>
      <c r="O23" s="18">
        <v>7.0000000000000007E-2</v>
      </c>
      <c r="P23" s="17">
        <v>419.46</v>
      </c>
      <c r="Q23" s="15" t="s">
        <v>58</v>
      </c>
      <c r="R23" s="15" t="s">
        <v>48</v>
      </c>
    </row>
    <row r="24" spans="1:18" ht="15.6">
      <c r="A24" s="15" t="s">
        <v>148</v>
      </c>
      <c r="B24" s="16">
        <v>44174</v>
      </c>
      <c r="C24" s="22">
        <v>44178</v>
      </c>
      <c r="D24" s="15" t="s">
        <v>149</v>
      </c>
      <c r="E24" s="15" t="s">
        <v>150</v>
      </c>
      <c r="F24" s="15" t="s">
        <v>21</v>
      </c>
      <c r="G24" s="15" t="s">
        <v>22</v>
      </c>
      <c r="H24" s="15" t="s">
        <v>44</v>
      </c>
      <c r="I24" s="15" t="s">
        <v>64</v>
      </c>
      <c r="J24" s="15" t="s">
        <v>36</v>
      </c>
      <c r="K24" s="15" t="s">
        <v>26</v>
      </c>
      <c r="L24" s="15" t="s">
        <v>151</v>
      </c>
      <c r="M24" s="17">
        <v>3601.79</v>
      </c>
      <c r="N24" s="15">
        <v>1</v>
      </c>
      <c r="O24" s="18">
        <v>0.04</v>
      </c>
      <c r="P24" s="17">
        <v>575.08000000000004</v>
      </c>
      <c r="Q24" s="15" t="s">
        <v>47</v>
      </c>
      <c r="R24" s="15" t="s">
        <v>29</v>
      </c>
    </row>
    <row r="25" spans="1:18" ht="15.6">
      <c r="A25" s="15" t="s">
        <v>152</v>
      </c>
      <c r="B25" s="16">
        <v>44393</v>
      </c>
      <c r="C25" s="23">
        <v>44395</v>
      </c>
      <c r="D25" s="15" t="s">
        <v>155</v>
      </c>
      <c r="E25" s="15" t="s">
        <v>156</v>
      </c>
      <c r="F25" s="15" t="s">
        <v>43</v>
      </c>
      <c r="G25" s="15" t="s">
        <v>33</v>
      </c>
      <c r="H25" s="15" t="s">
        <v>34</v>
      </c>
      <c r="I25" s="15" t="s">
        <v>55</v>
      </c>
      <c r="J25" s="15" t="s">
        <v>36</v>
      </c>
      <c r="K25" s="15" t="s">
        <v>45</v>
      </c>
      <c r="L25" s="15" t="s">
        <v>157</v>
      </c>
      <c r="M25" s="17">
        <v>1018.33</v>
      </c>
      <c r="N25" s="15">
        <v>7</v>
      </c>
      <c r="O25" s="18">
        <v>0.16</v>
      </c>
      <c r="P25" s="17">
        <v>120.02</v>
      </c>
      <c r="Q25" s="15" t="s">
        <v>28</v>
      </c>
      <c r="R25" s="15" t="s">
        <v>38</v>
      </c>
    </row>
    <row r="26" spans="1:18" ht="15.6">
      <c r="A26" s="15" t="s">
        <v>158</v>
      </c>
      <c r="B26" s="16">
        <v>43733</v>
      </c>
      <c r="C26" s="22">
        <v>43738</v>
      </c>
      <c r="D26" s="15" t="s">
        <v>161</v>
      </c>
      <c r="E26" s="15" t="s">
        <v>162</v>
      </c>
      <c r="F26" s="15" t="s">
        <v>21</v>
      </c>
      <c r="G26" s="15" t="s">
        <v>54</v>
      </c>
      <c r="H26" s="15" t="s">
        <v>44</v>
      </c>
      <c r="I26" s="15" t="s">
        <v>64</v>
      </c>
      <c r="J26" s="15" t="s">
        <v>110</v>
      </c>
      <c r="K26" s="15" t="s">
        <v>77</v>
      </c>
      <c r="L26" s="15" t="s">
        <v>163</v>
      </c>
      <c r="M26" s="17">
        <v>675.86</v>
      </c>
      <c r="N26" s="15">
        <v>9</v>
      </c>
      <c r="O26" s="18">
        <v>0.16</v>
      </c>
      <c r="P26" s="17">
        <v>126.48</v>
      </c>
      <c r="Q26" s="15" t="s">
        <v>67</v>
      </c>
      <c r="R26" s="15" t="s">
        <v>83</v>
      </c>
    </row>
    <row r="27" spans="1:18" ht="15.6">
      <c r="A27" s="15" t="s">
        <v>164</v>
      </c>
      <c r="B27" s="16">
        <v>43846</v>
      </c>
      <c r="C27" s="23">
        <v>43850</v>
      </c>
      <c r="D27" s="15" t="s">
        <v>167</v>
      </c>
      <c r="E27" s="15" t="s">
        <v>168</v>
      </c>
      <c r="F27" s="15" t="s">
        <v>21</v>
      </c>
      <c r="G27" s="15" t="s">
        <v>54</v>
      </c>
      <c r="H27" s="15" t="s">
        <v>44</v>
      </c>
      <c r="I27" s="15" t="s">
        <v>76</v>
      </c>
      <c r="J27" s="15" t="s">
        <v>25</v>
      </c>
      <c r="K27" s="15" t="s">
        <v>56</v>
      </c>
      <c r="L27" s="15" t="s">
        <v>66</v>
      </c>
      <c r="M27" s="17">
        <v>4932.3900000000003</v>
      </c>
      <c r="N27" s="15">
        <v>3</v>
      </c>
      <c r="O27" s="18">
        <v>0.11</v>
      </c>
      <c r="P27" s="17">
        <v>363.93</v>
      </c>
      <c r="Q27" s="15" t="s">
        <v>58</v>
      </c>
      <c r="R27" s="15" t="s">
        <v>29</v>
      </c>
    </row>
    <row r="28" spans="1:18" ht="15.6">
      <c r="A28" s="15" t="s">
        <v>169</v>
      </c>
      <c r="B28" s="16">
        <v>43846</v>
      </c>
      <c r="C28" s="22">
        <v>43850</v>
      </c>
      <c r="D28" s="15" t="s">
        <v>170</v>
      </c>
      <c r="E28" s="15" t="s">
        <v>171</v>
      </c>
      <c r="F28" s="15" t="s">
        <v>43</v>
      </c>
      <c r="G28" s="15" t="s">
        <v>33</v>
      </c>
      <c r="H28" s="15" t="s">
        <v>34</v>
      </c>
      <c r="I28" s="15" t="s">
        <v>64</v>
      </c>
      <c r="J28" s="15" t="s">
        <v>25</v>
      </c>
      <c r="K28" s="15" t="s">
        <v>65</v>
      </c>
      <c r="L28" s="15" t="s">
        <v>172</v>
      </c>
      <c r="M28" s="17">
        <v>3156.11</v>
      </c>
      <c r="N28" s="15">
        <v>6</v>
      </c>
      <c r="O28" s="18">
        <v>0.08</v>
      </c>
      <c r="P28" s="17">
        <v>482.15</v>
      </c>
      <c r="Q28" s="15" t="s">
        <v>67</v>
      </c>
      <c r="R28" s="15" t="s">
        <v>83</v>
      </c>
    </row>
    <row r="29" spans="1:18" ht="15.6">
      <c r="A29" s="15" t="s">
        <v>173</v>
      </c>
      <c r="B29" s="16">
        <v>43725</v>
      </c>
      <c r="C29" s="23">
        <v>43729</v>
      </c>
      <c r="D29" s="15" t="s">
        <v>176</v>
      </c>
      <c r="E29" s="15" t="s">
        <v>177</v>
      </c>
      <c r="F29" s="15" t="s">
        <v>43</v>
      </c>
      <c r="G29" s="15" t="s">
        <v>22</v>
      </c>
      <c r="H29" s="15" t="s">
        <v>23</v>
      </c>
      <c r="I29" s="15" t="s">
        <v>76</v>
      </c>
      <c r="J29" s="15" t="s">
        <v>36</v>
      </c>
      <c r="K29" s="15" t="s">
        <v>56</v>
      </c>
      <c r="L29" s="15" t="s">
        <v>172</v>
      </c>
      <c r="M29" s="17">
        <v>586.53</v>
      </c>
      <c r="N29" s="15">
        <v>5</v>
      </c>
      <c r="O29" s="18">
        <v>0.24</v>
      </c>
      <c r="P29" s="17">
        <v>109.15</v>
      </c>
      <c r="Q29" s="15" t="s">
        <v>47</v>
      </c>
      <c r="R29" s="15" t="s">
        <v>38</v>
      </c>
    </row>
    <row r="30" spans="1:18" ht="15.6">
      <c r="A30" s="15" t="s">
        <v>178</v>
      </c>
      <c r="B30" s="16">
        <v>43725</v>
      </c>
      <c r="C30" s="22">
        <v>43729</v>
      </c>
      <c r="D30" s="15" t="s">
        <v>179</v>
      </c>
      <c r="E30" s="15" t="s">
        <v>180</v>
      </c>
      <c r="F30" s="15" t="s">
        <v>53</v>
      </c>
      <c r="G30" s="15" t="s">
        <v>22</v>
      </c>
      <c r="H30" s="15" t="s">
        <v>23</v>
      </c>
      <c r="I30" s="15" t="s">
        <v>76</v>
      </c>
      <c r="J30" s="15" t="s">
        <v>36</v>
      </c>
      <c r="K30" s="15" t="s">
        <v>26</v>
      </c>
      <c r="L30" s="15" t="s">
        <v>82</v>
      </c>
      <c r="M30" s="17">
        <v>1825.88</v>
      </c>
      <c r="N30" s="15">
        <v>10</v>
      </c>
      <c r="O30" s="18">
        <v>0.18</v>
      </c>
      <c r="P30" s="17">
        <v>513.42999999999995</v>
      </c>
      <c r="Q30" s="15" t="s">
        <v>28</v>
      </c>
      <c r="R30" s="15" t="s">
        <v>48</v>
      </c>
    </row>
    <row r="31" spans="1:18" ht="15.6">
      <c r="A31" s="15" t="s">
        <v>181</v>
      </c>
      <c r="B31" s="16">
        <v>43725</v>
      </c>
      <c r="C31" s="23">
        <v>43729</v>
      </c>
      <c r="D31" s="15" t="s">
        <v>182</v>
      </c>
      <c r="E31" s="15" t="s">
        <v>183</v>
      </c>
      <c r="F31" s="15" t="s">
        <v>21</v>
      </c>
      <c r="G31" s="15" t="s">
        <v>33</v>
      </c>
      <c r="H31" s="15" t="s">
        <v>34</v>
      </c>
      <c r="I31" s="15" t="s">
        <v>64</v>
      </c>
      <c r="J31" s="15" t="s">
        <v>36</v>
      </c>
      <c r="K31" s="15" t="s">
        <v>56</v>
      </c>
      <c r="L31" s="15" t="s">
        <v>184</v>
      </c>
      <c r="M31" s="17">
        <v>4587.03</v>
      </c>
      <c r="N31" s="15">
        <v>4</v>
      </c>
      <c r="O31" s="18">
        <v>0.17</v>
      </c>
      <c r="P31" s="17">
        <v>1198.45</v>
      </c>
      <c r="Q31" s="15" t="s">
        <v>47</v>
      </c>
      <c r="R31" s="15" t="s">
        <v>83</v>
      </c>
    </row>
    <row r="32" spans="1:18" ht="15.6">
      <c r="A32" s="15" t="s">
        <v>185</v>
      </c>
      <c r="B32" s="16">
        <v>43725</v>
      </c>
      <c r="C32" s="22">
        <v>43729</v>
      </c>
      <c r="D32" s="15" t="s">
        <v>186</v>
      </c>
      <c r="E32" s="15" t="s">
        <v>187</v>
      </c>
      <c r="F32" s="15" t="s">
        <v>43</v>
      </c>
      <c r="G32" s="15" t="s">
        <v>54</v>
      </c>
      <c r="H32" s="15" t="s">
        <v>34</v>
      </c>
      <c r="I32" s="15" t="s">
        <v>24</v>
      </c>
      <c r="J32" s="15" t="s">
        <v>36</v>
      </c>
      <c r="K32" s="15" t="s">
        <v>45</v>
      </c>
      <c r="L32" s="15" t="s">
        <v>188</v>
      </c>
      <c r="M32" s="17">
        <v>4582.04</v>
      </c>
      <c r="N32" s="15">
        <v>1</v>
      </c>
      <c r="O32" s="18">
        <v>7.0000000000000007E-2</v>
      </c>
      <c r="P32" s="17">
        <v>701.32</v>
      </c>
      <c r="Q32" s="15" t="s">
        <v>58</v>
      </c>
      <c r="R32" s="15" t="s">
        <v>38</v>
      </c>
    </row>
    <row r="33" spans="1:18" ht="15.6">
      <c r="A33" s="15" t="s">
        <v>189</v>
      </c>
      <c r="B33" s="16">
        <v>43725</v>
      </c>
      <c r="C33" s="23">
        <v>43729</v>
      </c>
      <c r="D33" s="15" t="s">
        <v>190</v>
      </c>
      <c r="E33" s="15" t="s">
        <v>191</v>
      </c>
      <c r="F33" s="15" t="s">
        <v>43</v>
      </c>
      <c r="G33" s="15" t="s">
        <v>33</v>
      </c>
      <c r="H33" s="15" t="s">
        <v>34</v>
      </c>
      <c r="I33" s="15" t="s">
        <v>55</v>
      </c>
      <c r="J33" s="15" t="s">
        <v>110</v>
      </c>
      <c r="K33" s="15" t="s">
        <v>56</v>
      </c>
      <c r="L33" s="15" t="s">
        <v>82</v>
      </c>
      <c r="M33" s="17">
        <v>3931.32</v>
      </c>
      <c r="N33" s="15">
        <v>5</v>
      </c>
      <c r="O33" s="18">
        <v>0.01</v>
      </c>
      <c r="P33" s="17">
        <v>976.97</v>
      </c>
      <c r="Q33" s="15" t="s">
        <v>67</v>
      </c>
      <c r="R33" s="15" t="s">
        <v>38</v>
      </c>
    </row>
    <row r="34" spans="1:18" ht="15.6">
      <c r="A34" s="15" t="s">
        <v>192</v>
      </c>
      <c r="B34" s="16">
        <v>43725</v>
      </c>
      <c r="C34" s="22">
        <v>43729</v>
      </c>
      <c r="D34" s="15" t="s">
        <v>193</v>
      </c>
      <c r="E34" s="15" t="s">
        <v>194</v>
      </c>
      <c r="F34" s="15" t="s">
        <v>43</v>
      </c>
      <c r="G34" s="15" t="s">
        <v>33</v>
      </c>
      <c r="H34" s="15" t="s">
        <v>34</v>
      </c>
      <c r="I34" s="15" t="s">
        <v>35</v>
      </c>
      <c r="J34" s="15" t="s">
        <v>25</v>
      </c>
      <c r="K34" s="15" t="s">
        <v>65</v>
      </c>
      <c r="L34" s="15" t="s">
        <v>195</v>
      </c>
      <c r="M34" s="17">
        <v>1172.5999999999999</v>
      </c>
      <c r="N34" s="15">
        <v>9</v>
      </c>
      <c r="O34" s="18">
        <v>0.21</v>
      </c>
      <c r="P34" s="17">
        <v>165.23</v>
      </c>
      <c r="Q34" s="15" t="s">
        <v>47</v>
      </c>
      <c r="R34" s="15" t="s">
        <v>29</v>
      </c>
    </row>
    <row r="35" spans="1:18" ht="15.6">
      <c r="A35" s="15" t="s">
        <v>196</v>
      </c>
      <c r="B35" s="16">
        <v>43725</v>
      </c>
      <c r="C35" s="23">
        <v>43729</v>
      </c>
      <c r="D35" s="15" t="s">
        <v>197</v>
      </c>
      <c r="E35" s="15" t="s">
        <v>198</v>
      </c>
      <c r="F35" s="15" t="s">
        <v>43</v>
      </c>
      <c r="G35" s="15" t="s">
        <v>22</v>
      </c>
      <c r="H35" s="15" t="s">
        <v>95</v>
      </c>
      <c r="I35" s="15" t="s">
        <v>24</v>
      </c>
      <c r="J35" s="15" t="s">
        <v>25</v>
      </c>
      <c r="K35" s="15" t="s">
        <v>77</v>
      </c>
      <c r="L35" s="15" t="s">
        <v>27</v>
      </c>
      <c r="M35" s="17">
        <v>949.13</v>
      </c>
      <c r="N35" s="15">
        <v>2</v>
      </c>
      <c r="O35" s="18">
        <v>0.26</v>
      </c>
      <c r="P35" s="17">
        <v>115.77</v>
      </c>
      <c r="Q35" s="15" t="s">
        <v>47</v>
      </c>
      <c r="R35" s="15" t="s">
        <v>83</v>
      </c>
    </row>
    <row r="36" spans="1:18" ht="15.6">
      <c r="A36" s="15" t="s">
        <v>199</v>
      </c>
      <c r="B36" s="16">
        <v>44488</v>
      </c>
      <c r="C36" s="22">
        <v>44492</v>
      </c>
      <c r="D36" s="15" t="s">
        <v>202</v>
      </c>
      <c r="E36" s="15" t="s">
        <v>203</v>
      </c>
      <c r="F36" s="15" t="s">
        <v>21</v>
      </c>
      <c r="G36" s="15" t="s">
        <v>22</v>
      </c>
      <c r="H36" s="15" t="s">
        <v>34</v>
      </c>
      <c r="I36" s="15" t="s">
        <v>24</v>
      </c>
      <c r="J36" s="15" t="s">
        <v>36</v>
      </c>
      <c r="K36" s="15" t="s">
        <v>56</v>
      </c>
      <c r="L36" s="15" t="s">
        <v>204</v>
      </c>
      <c r="M36" s="17">
        <v>1185.82</v>
      </c>
      <c r="N36" s="15">
        <v>4</v>
      </c>
      <c r="O36" s="18">
        <v>0.28999999999999998</v>
      </c>
      <c r="P36" s="17">
        <v>241.48</v>
      </c>
      <c r="Q36" s="15" t="s">
        <v>47</v>
      </c>
      <c r="R36" s="15" t="s">
        <v>48</v>
      </c>
    </row>
    <row r="37" spans="1:18" ht="15.6">
      <c r="A37" s="15" t="s">
        <v>205</v>
      </c>
      <c r="B37" s="16">
        <v>44173</v>
      </c>
      <c r="C37" s="23">
        <v>44175</v>
      </c>
      <c r="D37" s="15" t="s">
        <v>206</v>
      </c>
      <c r="E37" s="15" t="s">
        <v>207</v>
      </c>
      <c r="F37" s="15" t="s">
        <v>53</v>
      </c>
      <c r="G37" s="15" t="s">
        <v>22</v>
      </c>
      <c r="H37" s="15" t="s">
        <v>44</v>
      </c>
      <c r="I37" s="15" t="s">
        <v>24</v>
      </c>
      <c r="J37" s="15" t="s">
        <v>36</v>
      </c>
      <c r="K37" s="15" t="s">
        <v>56</v>
      </c>
      <c r="L37" s="15" t="s">
        <v>208</v>
      </c>
      <c r="M37" s="17">
        <v>3980.49</v>
      </c>
      <c r="N37" s="15">
        <v>3</v>
      </c>
      <c r="O37" s="18">
        <v>0.21</v>
      </c>
      <c r="P37" s="17">
        <v>946.44</v>
      </c>
      <c r="Q37" s="15" t="s">
        <v>100</v>
      </c>
      <c r="R37" s="15" t="s">
        <v>48</v>
      </c>
    </row>
    <row r="38" spans="1:18" ht="15.6">
      <c r="A38" s="15" t="s">
        <v>209</v>
      </c>
      <c r="B38" s="16">
        <v>44173</v>
      </c>
      <c r="C38" s="22">
        <v>44175</v>
      </c>
      <c r="D38" s="15" t="s">
        <v>210</v>
      </c>
      <c r="E38" s="15" t="s">
        <v>211</v>
      </c>
      <c r="F38" s="15" t="s">
        <v>43</v>
      </c>
      <c r="G38" s="15" t="s">
        <v>22</v>
      </c>
      <c r="H38" s="15" t="s">
        <v>23</v>
      </c>
      <c r="I38" s="15" t="s">
        <v>76</v>
      </c>
      <c r="J38" s="15" t="s">
        <v>110</v>
      </c>
      <c r="K38" s="15" t="s">
        <v>77</v>
      </c>
      <c r="L38" s="15" t="s">
        <v>212</v>
      </c>
      <c r="M38" s="17">
        <v>2792.81</v>
      </c>
      <c r="N38" s="15">
        <v>6</v>
      </c>
      <c r="O38" s="18">
        <v>0.12</v>
      </c>
      <c r="P38" s="17">
        <v>354.87</v>
      </c>
      <c r="Q38" s="15" t="s">
        <v>58</v>
      </c>
      <c r="R38" s="15" t="s">
        <v>38</v>
      </c>
    </row>
    <row r="39" spans="1:18" ht="15.6">
      <c r="A39" s="15" t="s">
        <v>213</v>
      </c>
      <c r="B39" s="16">
        <v>43826</v>
      </c>
      <c r="C39" s="23">
        <v>43830</v>
      </c>
      <c r="D39" s="15" t="s">
        <v>216</v>
      </c>
      <c r="E39" s="15" t="s">
        <v>217</v>
      </c>
      <c r="F39" s="15" t="s">
        <v>21</v>
      </c>
      <c r="G39" s="15" t="s">
        <v>22</v>
      </c>
      <c r="H39" s="15" t="s">
        <v>44</v>
      </c>
      <c r="I39" s="15" t="s">
        <v>55</v>
      </c>
      <c r="J39" s="15" t="s">
        <v>110</v>
      </c>
      <c r="K39" s="15" t="s">
        <v>26</v>
      </c>
      <c r="L39" s="15" t="s">
        <v>218</v>
      </c>
      <c r="M39" s="17">
        <v>1977.67</v>
      </c>
      <c r="N39" s="15">
        <v>4</v>
      </c>
      <c r="O39" s="18">
        <v>0.05</v>
      </c>
      <c r="P39" s="17">
        <v>246.52</v>
      </c>
      <c r="Q39" s="15" t="s">
        <v>28</v>
      </c>
      <c r="R39" s="15" t="s">
        <v>38</v>
      </c>
    </row>
    <row r="40" spans="1:18" ht="15.6">
      <c r="A40" s="15" t="s">
        <v>219</v>
      </c>
      <c r="B40" s="16">
        <v>43826</v>
      </c>
      <c r="C40" s="22">
        <v>43830</v>
      </c>
      <c r="D40" s="15" t="s">
        <v>220</v>
      </c>
      <c r="E40" s="15" t="s">
        <v>221</v>
      </c>
      <c r="F40" s="15" t="s">
        <v>43</v>
      </c>
      <c r="G40" s="15" t="s">
        <v>62</v>
      </c>
      <c r="H40" s="15" t="s">
        <v>23</v>
      </c>
      <c r="I40" s="15" t="s">
        <v>64</v>
      </c>
      <c r="J40" s="15" t="s">
        <v>25</v>
      </c>
      <c r="K40" s="15" t="s">
        <v>45</v>
      </c>
      <c r="L40" s="15" t="s">
        <v>212</v>
      </c>
      <c r="M40" s="17">
        <v>97.55</v>
      </c>
      <c r="N40" s="15">
        <v>10</v>
      </c>
      <c r="O40" s="18">
        <v>0.24</v>
      </c>
      <c r="P40" s="17">
        <v>8.1</v>
      </c>
      <c r="Q40" s="15" t="s">
        <v>58</v>
      </c>
      <c r="R40" s="15" t="s">
        <v>38</v>
      </c>
    </row>
    <row r="41" spans="1:18" ht="15.6">
      <c r="A41" s="15" t="s">
        <v>222</v>
      </c>
      <c r="B41" s="16">
        <v>43826</v>
      </c>
      <c r="C41" s="23">
        <v>43830</v>
      </c>
      <c r="D41" s="15" t="s">
        <v>223</v>
      </c>
      <c r="E41" s="15" t="s">
        <v>224</v>
      </c>
      <c r="F41" s="15" t="s">
        <v>53</v>
      </c>
      <c r="G41" s="15" t="s">
        <v>54</v>
      </c>
      <c r="H41" s="15" t="s">
        <v>44</v>
      </c>
      <c r="I41" s="15" t="s">
        <v>76</v>
      </c>
      <c r="J41" s="15" t="s">
        <v>25</v>
      </c>
      <c r="K41" s="15" t="s">
        <v>56</v>
      </c>
      <c r="L41" s="15" t="s">
        <v>225</v>
      </c>
      <c r="M41" s="17">
        <v>4420.72</v>
      </c>
      <c r="N41" s="15">
        <v>1</v>
      </c>
      <c r="O41" s="18">
        <v>0.12</v>
      </c>
      <c r="P41" s="17">
        <v>508.5</v>
      </c>
      <c r="Q41" s="15" t="s">
        <v>58</v>
      </c>
      <c r="R41" s="15" t="s">
        <v>29</v>
      </c>
    </row>
    <row r="42" spans="1:18" ht="15.6">
      <c r="A42" s="15" t="s">
        <v>226</v>
      </c>
      <c r="B42" s="16">
        <v>43826</v>
      </c>
      <c r="C42" s="22">
        <v>43830</v>
      </c>
      <c r="D42" s="15" t="s">
        <v>227</v>
      </c>
      <c r="E42" s="15" t="s">
        <v>228</v>
      </c>
      <c r="F42" s="15" t="s">
        <v>53</v>
      </c>
      <c r="G42" s="15" t="s">
        <v>33</v>
      </c>
      <c r="H42" s="15" t="s">
        <v>44</v>
      </c>
      <c r="I42" s="15" t="s">
        <v>55</v>
      </c>
      <c r="J42" s="15" t="s">
        <v>36</v>
      </c>
      <c r="K42" s="15" t="s">
        <v>56</v>
      </c>
      <c r="L42" s="15" t="s">
        <v>229</v>
      </c>
      <c r="M42" s="17">
        <v>3180.11</v>
      </c>
      <c r="N42" s="15">
        <v>2</v>
      </c>
      <c r="O42" s="18">
        <v>0.21</v>
      </c>
      <c r="P42" s="17">
        <v>747.99</v>
      </c>
      <c r="Q42" s="15" t="s">
        <v>67</v>
      </c>
      <c r="R42" s="15" t="s">
        <v>48</v>
      </c>
    </row>
    <row r="43" spans="1:18" ht="15.6">
      <c r="A43" s="15" t="s">
        <v>230</v>
      </c>
      <c r="B43" s="16">
        <v>44449</v>
      </c>
      <c r="C43" s="23">
        <v>44454</v>
      </c>
      <c r="D43" s="15" t="s">
        <v>232</v>
      </c>
      <c r="E43" s="15" t="s">
        <v>233</v>
      </c>
      <c r="F43" s="15" t="s">
        <v>53</v>
      </c>
      <c r="G43" s="15" t="s">
        <v>22</v>
      </c>
      <c r="H43" s="15" t="s">
        <v>44</v>
      </c>
      <c r="I43" s="15" t="s">
        <v>55</v>
      </c>
      <c r="J43" s="15" t="s">
        <v>25</v>
      </c>
      <c r="K43" s="15" t="s">
        <v>56</v>
      </c>
      <c r="L43" s="15" t="s">
        <v>78</v>
      </c>
      <c r="M43" s="17">
        <v>3064.85</v>
      </c>
      <c r="N43" s="15">
        <v>4</v>
      </c>
      <c r="O43" s="18">
        <v>0.26</v>
      </c>
      <c r="P43" s="17">
        <v>277.75</v>
      </c>
      <c r="Q43" s="15" t="s">
        <v>100</v>
      </c>
      <c r="R43" s="15" t="s">
        <v>38</v>
      </c>
    </row>
    <row r="44" spans="1:18" ht="15.6">
      <c r="A44" s="15" t="s">
        <v>234</v>
      </c>
      <c r="B44" s="16">
        <v>44029</v>
      </c>
      <c r="C44" s="22">
        <v>44034</v>
      </c>
      <c r="D44" s="15" t="s">
        <v>237</v>
      </c>
      <c r="E44" s="15" t="s">
        <v>238</v>
      </c>
      <c r="F44" s="15" t="s">
        <v>53</v>
      </c>
      <c r="G44" s="15" t="s">
        <v>33</v>
      </c>
      <c r="H44" s="15" t="s">
        <v>63</v>
      </c>
      <c r="I44" s="15" t="s">
        <v>76</v>
      </c>
      <c r="J44" s="15" t="s">
        <v>110</v>
      </c>
      <c r="K44" s="15" t="s">
        <v>56</v>
      </c>
      <c r="L44" s="15" t="s">
        <v>239</v>
      </c>
      <c r="M44" s="17">
        <v>3137.97</v>
      </c>
      <c r="N44" s="15">
        <v>8</v>
      </c>
      <c r="O44" s="18">
        <v>0.22</v>
      </c>
      <c r="P44" s="17">
        <v>512.88</v>
      </c>
      <c r="Q44" s="15" t="s">
        <v>28</v>
      </c>
      <c r="R44" s="15" t="s">
        <v>29</v>
      </c>
    </row>
    <row r="45" spans="1:18" ht="15.6">
      <c r="A45" s="15" t="s">
        <v>240</v>
      </c>
      <c r="B45" s="16">
        <v>44458</v>
      </c>
      <c r="C45" s="23">
        <v>44462</v>
      </c>
      <c r="D45" s="15" t="s">
        <v>243</v>
      </c>
      <c r="E45" s="15" t="s">
        <v>244</v>
      </c>
      <c r="F45" s="15" t="s">
        <v>53</v>
      </c>
      <c r="G45" s="15" t="s">
        <v>62</v>
      </c>
      <c r="H45" s="15" t="s">
        <v>95</v>
      </c>
      <c r="I45" s="15" t="s">
        <v>55</v>
      </c>
      <c r="J45" s="15" t="s">
        <v>110</v>
      </c>
      <c r="K45" s="15" t="s">
        <v>56</v>
      </c>
      <c r="L45" s="15" t="s">
        <v>78</v>
      </c>
      <c r="M45" s="17">
        <v>1197.6500000000001</v>
      </c>
      <c r="N45" s="15">
        <v>5</v>
      </c>
      <c r="O45" s="18">
        <v>0.04</v>
      </c>
      <c r="P45" s="17">
        <v>371.59</v>
      </c>
      <c r="Q45" s="15" t="s">
        <v>67</v>
      </c>
      <c r="R45" s="15" t="s">
        <v>38</v>
      </c>
    </row>
    <row r="46" spans="1:18" ht="15.6">
      <c r="A46" s="15" t="s">
        <v>245</v>
      </c>
      <c r="B46" s="16">
        <v>43901</v>
      </c>
      <c r="C46" s="22">
        <v>43903</v>
      </c>
      <c r="D46" s="15" t="s">
        <v>247</v>
      </c>
      <c r="E46" s="15" t="s">
        <v>248</v>
      </c>
      <c r="F46" s="15" t="s">
        <v>53</v>
      </c>
      <c r="G46" s="15" t="s">
        <v>33</v>
      </c>
      <c r="H46" s="15" t="s">
        <v>44</v>
      </c>
      <c r="I46" s="15" t="s">
        <v>24</v>
      </c>
      <c r="J46" s="15" t="s">
        <v>110</v>
      </c>
      <c r="K46" s="15" t="s">
        <v>56</v>
      </c>
      <c r="L46" s="15" t="s">
        <v>46</v>
      </c>
      <c r="M46" s="17">
        <v>1057.95</v>
      </c>
      <c r="N46" s="15">
        <v>4</v>
      </c>
      <c r="O46" s="18">
        <v>0.18</v>
      </c>
      <c r="P46" s="17">
        <v>358.4</v>
      </c>
      <c r="Q46" s="15" t="s">
        <v>28</v>
      </c>
      <c r="R46" s="15" t="s">
        <v>29</v>
      </c>
    </row>
    <row r="47" spans="1:18" ht="15.6">
      <c r="A47" s="15" t="s">
        <v>249</v>
      </c>
      <c r="B47" s="16">
        <v>43901</v>
      </c>
      <c r="C47" s="23">
        <v>43903</v>
      </c>
      <c r="D47" s="15" t="s">
        <v>250</v>
      </c>
      <c r="E47" s="15" t="s">
        <v>251</v>
      </c>
      <c r="F47" s="15" t="s">
        <v>53</v>
      </c>
      <c r="G47" s="15" t="s">
        <v>54</v>
      </c>
      <c r="H47" s="15" t="s">
        <v>63</v>
      </c>
      <c r="I47" s="15" t="s">
        <v>76</v>
      </c>
      <c r="J47" s="15" t="s">
        <v>25</v>
      </c>
      <c r="K47" s="15" t="s">
        <v>26</v>
      </c>
      <c r="L47" s="15" t="s">
        <v>184</v>
      </c>
      <c r="M47" s="17">
        <v>802.93</v>
      </c>
      <c r="N47" s="15">
        <v>5</v>
      </c>
      <c r="O47" s="18">
        <v>0.02</v>
      </c>
      <c r="P47" s="17">
        <v>88</v>
      </c>
      <c r="Q47" s="15" t="s">
        <v>67</v>
      </c>
      <c r="R47" s="15" t="s">
        <v>48</v>
      </c>
    </row>
    <row r="48" spans="1:18" ht="15.6">
      <c r="A48" s="15" t="s">
        <v>252</v>
      </c>
      <c r="B48" s="16">
        <v>43393</v>
      </c>
      <c r="C48" s="22">
        <v>43398</v>
      </c>
      <c r="D48" s="15" t="s">
        <v>255</v>
      </c>
      <c r="E48" s="15" t="s">
        <v>256</v>
      </c>
      <c r="F48" s="15" t="s">
        <v>43</v>
      </c>
      <c r="G48" s="15" t="s">
        <v>62</v>
      </c>
      <c r="H48" s="15" t="s">
        <v>95</v>
      </c>
      <c r="I48" s="15" t="s">
        <v>24</v>
      </c>
      <c r="J48" s="15" t="s">
        <v>25</v>
      </c>
      <c r="K48" s="15" t="s">
        <v>26</v>
      </c>
      <c r="L48" s="15" t="s">
        <v>195</v>
      </c>
      <c r="M48" s="17">
        <v>607.19000000000005</v>
      </c>
      <c r="N48" s="15">
        <v>2</v>
      </c>
      <c r="O48" s="18">
        <v>0.02</v>
      </c>
      <c r="P48" s="17">
        <v>178.32</v>
      </c>
      <c r="Q48" s="15" t="s">
        <v>58</v>
      </c>
      <c r="R48" s="15" t="s">
        <v>83</v>
      </c>
    </row>
    <row r="49" spans="1:18" ht="15.6">
      <c r="A49" s="15" t="s">
        <v>257</v>
      </c>
      <c r="B49" s="16">
        <v>44002</v>
      </c>
      <c r="C49" s="23">
        <v>44007</v>
      </c>
      <c r="D49" s="15" t="s">
        <v>260</v>
      </c>
      <c r="E49" s="15" t="s">
        <v>261</v>
      </c>
      <c r="F49" s="15" t="s">
        <v>53</v>
      </c>
      <c r="G49" s="15" t="s">
        <v>54</v>
      </c>
      <c r="H49" s="15" t="s">
        <v>44</v>
      </c>
      <c r="I49" s="15" t="s">
        <v>76</v>
      </c>
      <c r="J49" s="15" t="s">
        <v>25</v>
      </c>
      <c r="K49" s="15" t="s">
        <v>45</v>
      </c>
      <c r="L49" s="15" t="s">
        <v>262</v>
      </c>
      <c r="M49" s="17">
        <v>1520.37</v>
      </c>
      <c r="N49" s="15">
        <v>10</v>
      </c>
      <c r="O49" s="18">
        <v>7.0000000000000007E-2</v>
      </c>
      <c r="P49" s="17">
        <v>204.29</v>
      </c>
      <c r="Q49" s="15" t="s">
        <v>58</v>
      </c>
      <c r="R49" s="15" t="s">
        <v>48</v>
      </c>
    </row>
    <row r="50" spans="1:18" ht="15.6">
      <c r="A50" s="15" t="s">
        <v>263</v>
      </c>
      <c r="B50" s="16">
        <v>44002</v>
      </c>
      <c r="C50" s="22">
        <v>44007</v>
      </c>
      <c r="D50" s="15" t="s">
        <v>264</v>
      </c>
      <c r="E50" s="15" t="s">
        <v>265</v>
      </c>
      <c r="F50" s="15" t="s">
        <v>43</v>
      </c>
      <c r="G50" s="15" t="s">
        <v>54</v>
      </c>
      <c r="H50" s="15" t="s">
        <v>95</v>
      </c>
      <c r="I50" s="15" t="s">
        <v>55</v>
      </c>
      <c r="J50" s="15" t="s">
        <v>110</v>
      </c>
      <c r="K50" s="15" t="s">
        <v>77</v>
      </c>
      <c r="L50" s="15" t="s">
        <v>184</v>
      </c>
      <c r="M50" s="17">
        <v>3711.87</v>
      </c>
      <c r="N50" s="15">
        <v>5</v>
      </c>
      <c r="O50" s="18">
        <v>0.03</v>
      </c>
      <c r="P50" s="17">
        <v>881.67</v>
      </c>
      <c r="Q50" s="15" t="s">
        <v>28</v>
      </c>
      <c r="R50" s="15" t="s">
        <v>38</v>
      </c>
    </row>
    <row r="51" spans="1:18" ht="15.6">
      <c r="A51" s="15" t="s">
        <v>266</v>
      </c>
      <c r="B51" s="16">
        <v>43573</v>
      </c>
      <c r="C51" s="23">
        <v>43577</v>
      </c>
      <c r="D51" s="15" t="s">
        <v>269</v>
      </c>
      <c r="E51" s="15" t="s">
        <v>270</v>
      </c>
      <c r="F51" s="15" t="s">
        <v>21</v>
      </c>
      <c r="G51" s="15" t="s">
        <v>33</v>
      </c>
      <c r="H51" s="15" t="s">
        <v>44</v>
      </c>
      <c r="I51" s="15" t="s">
        <v>64</v>
      </c>
      <c r="J51" s="15" t="s">
        <v>25</v>
      </c>
      <c r="K51" s="15" t="s">
        <v>26</v>
      </c>
      <c r="L51" s="15" t="s">
        <v>195</v>
      </c>
      <c r="M51" s="17">
        <v>1695.91</v>
      </c>
      <c r="N51" s="15">
        <v>4</v>
      </c>
      <c r="O51" s="18">
        <v>0.2</v>
      </c>
      <c r="P51" s="17">
        <v>150.83000000000001</v>
      </c>
      <c r="Q51" s="15" t="s">
        <v>67</v>
      </c>
      <c r="R51" s="15" t="s">
        <v>38</v>
      </c>
    </row>
    <row r="52" spans="1:18" ht="15.6">
      <c r="A52" s="15" t="s">
        <v>271</v>
      </c>
      <c r="B52" s="16">
        <v>43573</v>
      </c>
      <c r="C52" s="22">
        <v>43577</v>
      </c>
      <c r="D52" s="15" t="s">
        <v>272</v>
      </c>
      <c r="E52" s="15" t="s">
        <v>273</v>
      </c>
      <c r="F52" s="15" t="s">
        <v>21</v>
      </c>
      <c r="G52" s="15" t="s">
        <v>54</v>
      </c>
      <c r="H52" s="15" t="s">
        <v>23</v>
      </c>
      <c r="I52" s="15" t="s">
        <v>76</v>
      </c>
      <c r="J52" s="15" t="s">
        <v>25</v>
      </c>
      <c r="K52" s="15" t="s">
        <v>45</v>
      </c>
      <c r="L52" s="15" t="s">
        <v>111</v>
      </c>
      <c r="M52" s="17">
        <v>96.46</v>
      </c>
      <c r="N52" s="15">
        <v>9</v>
      </c>
      <c r="O52" s="18">
        <v>0.02</v>
      </c>
      <c r="P52" s="17">
        <v>23.27</v>
      </c>
      <c r="Q52" s="15" t="s">
        <v>58</v>
      </c>
      <c r="R52" s="15" t="s">
        <v>83</v>
      </c>
    </row>
    <row r="53" spans="1:18" ht="15.6">
      <c r="A53" s="15" t="s">
        <v>274</v>
      </c>
      <c r="B53" s="16">
        <v>43573</v>
      </c>
      <c r="C53" s="23">
        <v>43577</v>
      </c>
      <c r="D53" s="15" t="s">
        <v>275</v>
      </c>
      <c r="E53" s="15" t="s">
        <v>276</v>
      </c>
      <c r="F53" s="15" t="s">
        <v>53</v>
      </c>
      <c r="G53" s="15" t="s">
        <v>33</v>
      </c>
      <c r="H53" s="15" t="s">
        <v>95</v>
      </c>
      <c r="I53" s="15" t="s">
        <v>24</v>
      </c>
      <c r="J53" s="15" t="s">
        <v>110</v>
      </c>
      <c r="K53" s="15" t="s">
        <v>45</v>
      </c>
      <c r="L53" s="15" t="s">
        <v>277</v>
      </c>
      <c r="M53" s="17">
        <v>4520.2</v>
      </c>
      <c r="N53" s="15">
        <v>9</v>
      </c>
      <c r="O53" s="18">
        <v>0.24</v>
      </c>
      <c r="P53" s="17">
        <v>876.73</v>
      </c>
      <c r="Q53" s="15" t="s">
        <v>100</v>
      </c>
      <c r="R53" s="15" t="s">
        <v>83</v>
      </c>
    </row>
    <row r="54" spans="1:18" ht="15.6">
      <c r="A54" s="15" t="s">
        <v>278</v>
      </c>
      <c r="B54" s="16">
        <v>43573</v>
      </c>
      <c r="C54" s="22">
        <v>43577</v>
      </c>
      <c r="D54" s="15" t="s">
        <v>279</v>
      </c>
      <c r="E54" s="15" t="s">
        <v>280</v>
      </c>
      <c r="F54" s="15" t="s">
        <v>53</v>
      </c>
      <c r="G54" s="15" t="s">
        <v>33</v>
      </c>
      <c r="H54" s="15" t="s">
        <v>23</v>
      </c>
      <c r="I54" s="15" t="s">
        <v>55</v>
      </c>
      <c r="J54" s="15" t="s">
        <v>36</v>
      </c>
      <c r="K54" s="15" t="s">
        <v>26</v>
      </c>
      <c r="L54" s="15" t="s">
        <v>281</v>
      </c>
      <c r="M54" s="17">
        <v>1652.39</v>
      </c>
      <c r="N54" s="15">
        <v>10</v>
      </c>
      <c r="O54" s="18">
        <v>0.15</v>
      </c>
      <c r="P54" s="17">
        <v>482.56</v>
      </c>
      <c r="Q54" s="15" t="s">
        <v>100</v>
      </c>
      <c r="R54" s="15" t="s">
        <v>38</v>
      </c>
    </row>
    <row r="55" spans="1:18" ht="15.6">
      <c r="A55" s="15" t="s">
        <v>282</v>
      </c>
      <c r="B55" s="16">
        <v>44176</v>
      </c>
      <c r="C55" s="23">
        <v>44182</v>
      </c>
      <c r="D55" s="15" t="s">
        <v>284</v>
      </c>
      <c r="E55" s="15" t="s">
        <v>285</v>
      </c>
      <c r="F55" s="15" t="s">
        <v>21</v>
      </c>
      <c r="G55" s="15" t="s">
        <v>33</v>
      </c>
      <c r="H55" s="15" t="s">
        <v>23</v>
      </c>
      <c r="I55" s="15" t="s">
        <v>76</v>
      </c>
      <c r="J55" s="15" t="s">
        <v>36</v>
      </c>
      <c r="K55" s="15" t="s">
        <v>65</v>
      </c>
      <c r="L55" s="15" t="s">
        <v>130</v>
      </c>
      <c r="M55" s="17">
        <v>2122.73</v>
      </c>
      <c r="N55" s="15">
        <v>10</v>
      </c>
      <c r="O55" s="18">
        <v>0.22</v>
      </c>
      <c r="P55" s="17">
        <v>618.66999999999996</v>
      </c>
      <c r="Q55" s="15" t="s">
        <v>47</v>
      </c>
      <c r="R55" s="15" t="s">
        <v>83</v>
      </c>
    </row>
    <row r="56" spans="1:18" ht="15.6">
      <c r="A56" s="15" t="s">
        <v>286</v>
      </c>
      <c r="B56" s="16">
        <v>44176</v>
      </c>
      <c r="C56" s="22">
        <v>44182</v>
      </c>
      <c r="D56" s="15" t="s">
        <v>287</v>
      </c>
      <c r="E56" s="15" t="s">
        <v>288</v>
      </c>
      <c r="F56" s="15" t="s">
        <v>53</v>
      </c>
      <c r="G56" s="15" t="s">
        <v>33</v>
      </c>
      <c r="H56" s="15" t="s">
        <v>44</v>
      </c>
      <c r="I56" s="15" t="s">
        <v>55</v>
      </c>
      <c r="J56" s="15" t="s">
        <v>110</v>
      </c>
      <c r="K56" s="15" t="s">
        <v>45</v>
      </c>
      <c r="L56" s="15" t="s">
        <v>87</v>
      </c>
      <c r="M56" s="17">
        <v>3624.16</v>
      </c>
      <c r="N56" s="15">
        <v>3</v>
      </c>
      <c r="O56" s="18">
        <v>0.21</v>
      </c>
      <c r="P56" s="17">
        <v>424.71</v>
      </c>
      <c r="Q56" s="15" t="s">
        <v>58</v>
      </c>
      <c r="R56" s="15" t="s">
        <v>83</v>
      </c>
    </row>
    <row r="57" spans="1:18" ht="15.6">
      <c r="A57" s="15" t="s">
        <v>289</v>
      </c>
      <c r="B57" s="16">
        <v>43999</v>
      </c>
      <c r="C57" s="23">
        <v>44000</v>
      </c>
      <c r="D57" s="15" t="s">
        <v>292</v>
      </c>
      <c r="E57" s="15" t="s">
        <v>293</v>
      </c>
      <c r="F57" s="15" t="s">
        <v>21</v>
      </c>
      <c r="G57" s="15" t="s">
        <v>54</v>
      </c>
      <c r="H57" s="15" t="s">
        <v>63</v>
      </c>
      <c r="I57" s="15" t="s">
        <v>24</v>
      </c>
      <c r="J57" s="15" t="s">
        <v>25</v>
      </c>
      <c r="K57" s="15" t="s">
        <v>77</v>
      </c>
      <c r="L57" s="15" t="s">
        <v>87</v>
      </c>
      <c r="M57" s="17">
        <v>810.74</v>
      </c>
      <c r="N57" s="15">
        <v>7</v>
      </c>
      <c r="O57" s="18">
        <v>0.27</v>
      </c>
      <c r="P57" s="17">
        <v>107.42</v>
      </c>
      <c r="Q57" s="15" t="s">
        <v>58</v>
      </c>
      <c r="R57" s="15" t="s">
        <v>38</v>
      </c>
    </row>
    <row r="58" spans="1:18" ht="15.6">
      <c r="A58" s="15" t="s">
        <v>294</v>
      </c>
      <c r="B58" s="16">
        <v>43999</v>
      </c>
      <c r="C58" s="22">
        <v>44000</v>
      </c>
      <c r="D58" s="15" t="s">
        <v>295</v>
      </c>
      <c r="E58" s="15" t="s">
        <v>296</v>
      </c>
      <c r="F58" s="15" t="s">
        <v>21</v>
      </c>
      <c r="G58" s="15" t="s">
        <v>22</v>
      </c>
      <c r="H58" s="15" t="s">
        <v>44</v>
      </c>
      <c r="I58" s="15" t="s">
        <v>24</v>
      </c>
      <c r="J58" s="15" t="s">
        <v>25</v>
      </c>
      <c r="K58" s="15" t="s">
        <v>26</v>
      </c>
      <c r="L58" s="15" t="s">
        <v>212</v>
      </c>
      <c r="M58" s="17">
        <v>1894.58</v>
      </c>
      <c r="N58" s="15">
        <v>5</v>
      </c>
      <c r="O58" s="18">
        <v>0.03</v>
      </c>
      <c r="P58" s="17">
        <v>408.53</v>
      </c>
      <c r="Q58" s="15" t="s">
        <v>67</v>
      </c>
      <c r="R58" s="15" t="s">
        <v>83</v>
      </c>
    </row>
    <row r="59" spans="1:18" ht="15.6">
      <c r="A59" s="15" t="s">
        <v>297</v>
      </c>
      <c r="B59" s="16">
        <v>43999</v>
      </c>
      <c r="C59" s="23">
        <v>44000</v>
      </c>
      <c r="D59" s="15" t="s">
        <v>298</v>
      </c>
      <c r="E59" s="15" t="s">
        <v>299</v>
      </c>
      <c r="F59" s="15" t="s">
        <v>43</v>
      </c>
      <c r="G59" s="15" t="s">
        <v>33</v>
      </c>
      <c r="H59" s="15" t="s">
        <v>95</v>
      </c>
      <c r="I59" s="15" t="s">
        <v>35</v>
      </c>
      <c r="J59" s="15" t="s">
        <v>25</v>
      </c>
      <c r="K59" s="15" t="s">
        <v>65</v>
      </c>
      <c r="L59" s="15" t="s">
        <v>147</v>
      </c>
      <c r="M59" s="17">
        <v>2385.16</v>
      </c>
      <c r="N59" s="15">
        <v>5</v>
      </c>
      <c r="O59" s="18">
        <v>0.12</v>
      </c>
      <c r="P59" s="17">
        <v>235.61</v>
      </c>
      <c r="Q59" s="15" t="s">
        <v>47</v>
      </c>
      <c r="R59" s="15" t="s">
        <v>48</v>
      </c>
    </row>
    <row r="60" spans="1:18" ht="15.6">
      <c r="A60" s="15" t="s">
        <v>300</v>
      </c>
      <c r="B60" s="16">
        <v>43999</v>
      </c>
      <c r="C60" s="22">
        <v>44000</v>
      </c>
      <c r="D60" s="15" t="s">
        <v>301</v>
      </c>
      <c r="E60" s="15" t="s">
        <v>302</v>
      </c>
      <c r="F60" s="15" t="s">
        <v>43</v>
      </c>
      <c r="G60" s="15" t="s">
        <v>22</v>
      </c>
      <c r="H60" s="15" t="s">
        <v>44</v>
      </c>
      <c r="I60" s="15" t="s">
        <v>24</v>
      </c>
      <c r="J60" s="15" t="s">
        <v>25</v>
      </c>
      <c r="K60" s="15" t="s">
        <v>45</v>
      </c>
      <c r="L60" s="15" t="s">
        <v>303</v>
      </c>
      <c r="M60" s="17">
        <v>2749.14</v>
      </c>
      <c r="N60" s="15">
        <v>1</v>
      </c>
      <c r="O60" s="18">
        <v>0.14000000000000001</v>
      </c>
      <c r="P60" s="17">
        <v>355.22</v>
      </c>
      <c r="Q60" s="15" t="s">
        <v>58</v>
      </c>
      <c r="R60" s="15" t="s">
        <v>29</v>
      </c>
    </row>
    <row r="61" spans="1:18" ht="15.6">
      <c r="A61" s="15" t="s">
        <v>304</v>
      </c>
      <c r="B61" s="16">
        <v>43999</v>
      </c>
      <c r="C61" s="23">
        <v>44000</v>
      </c>
      <c r="D61" s="15" t="s">
        <v>305</v>
      </c>
      <c r="E61" s="15" t="s">
        <v>306</v>
      </c>
      <c r="F61" s="15" t="s">
        <v>43</v>
      </c>
      <c r="G61" s="15" t="s">
        <v>62</v>
      </c>
      <c r="H61" s="15" t="s">
        <v>95</v>
      </c>
      <c r="I61" s="15" t="s">
        <v>64</v>
      </c>
      <c r="J61" s="15" t="s">
        <v>110</v>
      </c>
      <c r="K61" s="15" t="s">
        <v>26</v>
      </c>
      <c r="L61" s="15" t="s">
        <v>120</v>
      </c>
      <c r="M61" s="17">
        <v>532.27</v>
      </c>
      <c r="N61" s="15">
        <v>8</v>
      </c>
      <c r="O61" s="18">
        <v>0.1</v>
      </c>
      <c r="P61" s="17">
        <v>142</v>
      </c>
      <c r="Q61" s="15" t="s">
        <v>67</v>
      </c>
      <c r="R61" s="15" t="s">
        <v>38</v>
      </c>
    </row>
    <row r="62" spans="1:18" ht="15.6">
      <c r="A62" s="15" t="s">
        <v>307</v>
      </c>
      <c r="B62" s="16">
        <v>43999</v>
      </c>
      <c r="C62" s="22">
        <v>44000</v>
      </c>
      <c r="D62" s="15" t="s">
        <v>308</v>
      </c>
      <c r="E62" s="15" t="s">
        <v>309</v>
      </c>
      <c r="F62" s="15" t="s">
        <v>53</v>
      </c>
      <c r="G62" s="15" t="s">
        <v>33</v>
      </c>
      <c r="H62" s="15" t="s">
        <v>63</v>
      </c>
      <c r="I62" s="15" t="s">
        <v>76</v>
      </c>
      <c r="J62" s="15" t="s">
        <v>25</v>
      </c>
      <c r="K62" s="15" t="s">
        <v>45</v>
      </c>
      <c r="L62" s="15" t="s">
        <v>310</v>
      </c>
      <c r="M62" s="17">
        <v>2331.98</v>
      </c>
      <c r="N62" s="15">
        <v>2</v>
      </c>
      <c r="O62" s="18">
        <v>0.28000000000000003</v>
      </c>
      <c r="P62" s="17">
        <v>122.15</v>
      </c>
      <c r="Q62" s="15" t="s">
        <v>58</v>
      </c>
      <c r="R62" s="15" t="s">
        <v>48</v>
      </c>
    </row>
    <row r="63" spans="1:18" ht="15.6">
      <c r="A63" s="15" t="s">
        <v>311</v>
      </c>
      <c r="B63" s="16">
        <v>43999</v>
      </c>
      <c r="C63" s="23">
        <v>44000</v>
      </c>
      <c r="D63" s="15" t="s">
        <v>312</v>
      </c>
      <c r="E63" s="15" t="s">
        <v>313</v>
      </c>
      <c r="F63" s="15" t="s">
        <v>43</v>
      </c>
      <c r="G63" s="15" t="s">
        <v>22</v>
      </c>
      <c r="H63" s="15" t="s">
        <v>95</v>
      </c>
      <c r="I63" s="15" t="s">
        <v>55</v>
      </c>
      <c r="J63" s="15" t="s">
        <v>36</v>
      </c>
      <c r="K63" s="15" t="s">
        <v>56</v>
      </c>
      <c r="L63" s="15" t="s">
        <v>91</v>
      </c>
      <c r="M63" s="17">
        <v>3596.35</v>
      </c>
      <c r="N63" s="15">
        <v>3</v>
      </c>
      <c r="O63" s="18">
        <v>0.05</v>
      </c>
      <c r="P63" s="17">
        <v>1169.8699999999999</v>
      </c>
      <c r="Q63" s="15" t="s">
        <v>47</v>
      </c>
      <c r="R63" s="15" t="s">
        <v>29</v>
      </c>
    </row>
    <row r="64" spans="1:18" ht="15.6">
      <c r="A64" s="15" t="s">
        <v>314</v>
      </c>
      <c r="B64" s="16">
        <v>43793</v>
      </c>
      <c r="C64" s="22">
        <v>43799</v>
      </c>
      <c r="D64" s="15" t="s">
        <v>317</v>
      </c>
      <c r="E64" s="15" t="s">
        <v>318</v>
      </c>
      <c r="F64" s="15" t="s">
        <v>53</v>
      </c>
      <c r="G64" s="15" t="s">
        <v>22</v>
      </c>
      <c r="H64" s="15" t="s">
        <v>34</v>
      </c>
      <c r="I64" s="15" t="s">
        <v>55</v>
      </c>
      <c r="J64" s="15" t="s">
        <v>36</v>
      </c>
      <c r="K64" s="15" t="s">
        <v>26</v>
      </c>
      <c r="L64" s="15" t="s">
        <v>82</v>
      </c>
      <c r="M64" s="17">
        <v>2720.31</v>
      </c>
      <c r="N64" s="15">
        <v>10</v>
      </c>
      <c r="O64" s="18">
        <v>0.28000000000000003</v>
      </c>
      <c r="P64" s="17">
        <v>407.58</v>
      </c>
      <c r="Q64" s="15" t="s">
        <v>47</v>
      </c>
      <c r="R64" s="15" t="s">
        <v>83</v>
      </c>
    </row>
    <row r="65" spans="1:18" ht="15.6">
      <c r="A65" s="15" t="s">
        <v>319</v>
      </c>
      <c r="B65" s="16">
        <v>43793</v>
      </c>
      <c r="C65" s="23">
        <v>43799</v>
      </c>
      <c r="D65" s="15" t="s">
        <v>320</v>
      </c>
      <c r="E65" s="15" t="s">
        <v>321</v>
      </c>
      <c r="F65" s="15" t="s">
        <v>43</v>
      </c>
      <c r="G65" s="15" t="s">
        <v>62</v>
      </c>
      <c r="H65" s="15" t="s">
        <v>23</v>
      </c>
      <c r="I65" s="15" t="s">
        <v>55</v>
      </c>
      <c r="J65" s="15" t="s">
        <v>25</v>
      </c>
      <c r="K65" s="15" t="s">
        <v>45</v>
      </c>
      <c r="L65" s="15" t="s">
        <v>322</v>
      </c>
      <c r="M65" s="17">
        <v>3507.21</v>
      </c>
      <c r="N65" s="15">
        <v>8</v>
      </c>
      <c r="O65" s="18">
        <v>0.18</v>
      </c>
      <c r="P65" s="17">
        <v>700.39</v>
      </c>
      <c r="Q65" s="15" t="s">
        <v>28</v>
      </c>
      <c r="R65" s="15" t="s">
        <v>38</v>
      </c>
    </row>
    <row r="66" spans="1:18" ht="15.6">
      <c r="A66" s="15" t="s">
        <v>323</v>
      </c>
      <c r="B66" s="16">
        <v>43793</v>
      </c>
      <c r="C66" s="22">
        <v>43799</v>
      </c>
      <c r="D66" s="15" t="s">
        <v>324</v>
      </c>
      <c r="E66" s="15" t="s">
        <v>325</v>
      </c>
      <c r="F66" s="15" t="s">
        <v>43</v>
      </c>
      <c r="G66" s="15" t="s">
        <v>22</v>
      </c>
      <c r="H66" s="15" t="s">
        <v>95</v>
      </c>
      <c r="I66" s="15" t="s">
        <v>55</v>
      </c>
      <c r="J66" s="15" t="s">
        <v>110</v>
      </c>
      <c r="K66" s="15" t="s">
        <v>77</v>
      </c>
      <c r="L66" s="15" t="s">
        <v>326</v>
      </c>
      <c r="M66" s="17">
        <v>3624.61</v>
      </c>
      <c r="N66" s="15">
        <v>10</v>
      </c>
      <c r="O66" s="18">
        <v>0.1</v>
      </c>
      <c r="P66" s="17">
        <v>986.08</v>
      </c>
      <c r="Q66" s="15" t="s">
        <v>100</v>
      </c>
      <c r="R66" s="15" t="s">
        <v>48</v>
      </c>
    </row>
    <row r="67" spans="1:18" ht="15.6">
      <c r="A67" s="15" t="s">
        <v>327</v>
      </c>
      <c r="B67" s="16">
        <v>43793</v>
      </c>
      <c r="C67" s="23">
        <v>43799</v>
      </c>
      <c r="D67" s="15" t="s">
        <v>328</v>
      </c>
      <c r="E67" s="15" t="s">
        <v>329</v>
      </c>
      <c r="F67" s="15" t="s">
        <v>43</v>
      </c>
      <c r="G67" s="15" t="s">
        <v>62</v>
      </c>
      <c r="H67" s="15" t="s">
        <v>23</v>
      </c>
      <c r="I67" s="15" t="s">
        <v>24</v>
      </c>
      <c r="J67" s="15" t="s">
        <v>110</v>
      </c>
      <c r="K67" s="15" t="s">
        <v>65</v>
      </c>
      <c r="L67" s="15" t="s">
        <v>46</v>
      </c>
      <c r="M67" s="17">
        <v>1020.32</v>
      </c>
      <c r="N67" s="15">
        <v>9</v>
      </c>
      <c r="O67" s="18">
        <v>0.13</v>
      </c>
      <c r="P67" s="17">
        <v>87.36</v>
      </c>
      <c r="Q67" s="15" t="s">
        <v>100</v>
      </c>
      <c r="R67" s="15" t="s">
        <v>38</v>
      </c>
    </row>
    <row r="68" spans="1:18" ht="15.6">
      <c r="A68" s="15" t="s">
        <v>330</v>
      </c>
      <c r="B68" s="16">
        <v>43585</v>
      </c>
      <c r="C68" s="22">
        <v>43590</v>
      </c>
      <c r="D68" s="15" t="s">
        <v>332</v>
      </c>
      <c r="E68" s="15" t="s">
        <v>333</v>
      </c>
      <c r="F68" s="15" t="s">
        <v>43</v>
      </c>
      <c r="G68" s="15" t="s">
        <v>54</v>
      </c>
      <c r="H68" s="15" t="s">
        <v>23</v>
      </c>
      <c r="I68" s="15" t="s">
        <v>24</v>
      </c>
      <c r="J68" s="15" t="s">
        <v>110</v>
      </c>
      <c r="K68" s="15" t="s">
        <v>77</v>
      </c>
      <c r="L68" s="15" t="s">
        <v>281</v>
      </c>
      <c r="M68" s="17">
        <v>3427.9</v>
      </c>
      <c r="N68" s="15">
        <v>10</v>
      </c>
      <c r="O68" s="18">
        <v>0.1</v>
      </c>
      <c r="P68" s="17">
        <v>216.15</v>
      </c>
      <c r="Q68" s="15" t="s">
        <v>47</v>
      </c>
      <c r="R68" s="15" t="s">
        <v>83</v>
      </c>
    </row>
    <row r="69" spans="1:18" ht="15.6">
      <c r="A69" s="15" t="s">
        <v>334</v>
      </c>
      <c r="B69" s="16">
        <v>43439</v>
      </c>
      <c r="C69" s="23">
        <v>43444</v>
      </c>
      <c r="D69" s="15" t="s">
        <v>335</v>
      </c>
      <c r="E69" s="15" t="s">
        <v>336</v>
      </c>
      <c r="F69" s="15" t="s">
        <v>43</v>
      </c>
      <c r="G69" s="15" t="s">
        <v>54</v>
      </c>
      <c r="H69" s="15" t="s">
        <v>34</v>
      </c>
      <c r="I69" s="15" t="s">
        <v>76</v>
      </c>
      <c r="J69" s="15" t="s">
        <v>36</v>
      </c>
      <c r="K69" s="15" t="s">
        <v>26</v>
      </c>
      <c r="L69" s="15" t="s">
        <v>277</v>
      </c>
      <c r="M69" s="17">
        <v>2861.94</v>
      </c>
      <c r="N69" s="15">
        <v>10</v>
      </c>
      <c r="O69" s="18">
        <v>0.11</v>
      </c>
      <c r="P69" s="17">
        <v>832.55</v>
      </c>
      <c r="Q69" s="15" t="s">
        <v>67</v>
      </c>
      <c r="R69" s="15" t="s">
        <v>48</v>
      </c>
    </row>
    <row r="70" spans="1:18" ht="15.6">
      <c r="A70" s="15" t="s">
        <v>337</v>
      </c>
      <c r="B70" s="16">
        <v>43439</v>
      </c>
      <c r="C70" s="22">
        <v>43444</v>
      </c>
      <c r="D70" s="15" t="s">
        <v>338</v>
      </c>
      <c r="E70" s="15" t="s">
        <v>339</v>
      </c>
      <c r="F70" s="15" t="s">
        <v>43</v>
      </c>
      <c r="G70" s="15" t="s">
        <v>54</v>
      </c>
      <c r="H70" s="15" t="s">
        <v>44</v>
      </c>
      <c r="I70" s="15" t="s">
        <v>64</v>
      </c>
      <c r="J70" s="15" t="s">
        <v>110</v>
      </c>
      <c r="K70" s="15" t="s">
        <v>26</v>
      </c>
      <c r="L70" s="15" t="s">
        <v>120</v>
      </c>
      <c r="M70" s="17">
        <v>895.71</v>
      </c>
      <c r="N70" s="15">
        <v>9</v>
      </c>
      <c r="O70" s="18">
        <v>0.24</v>
      </c>
      <c r="P70" s="17">
        <v>133.59</v>
      </c>
      <c r="Q70" s="15" t="s">
        <v>67</v>
      </c>
      <c r="R70" s="15" t="s">
        <v>48</v>
      </c>
    </row>
    <row r="71" spans="1:18" ht="15.6">
      <c r="A71" s="15" t="s">
        <v>340</v>
      </c>
      <c r="B71" s="16">
        <v>43986</v>
      </c>
      <c r="C71" s="23">
        <v>43988</v>
      </c>
      <c r="D71" s="15" t="s">
        <v>341</v>
      </c>
      <c r="E71" s="15" t="s">
        <v>342</v>
      </c>
      <c r="F71" s="15" t="s">
        <v>43</v>
      </c>
      <c r="G71" s="15" t="s">
        <v>62</v>
      </c>
      <c r="H71" s="15" t="s">
        <v>63</v>
      </c>
      <c r="I71" s="15" t="s">
        <v>55</v>
      </c>
      <c r="J71" s="15" t="s">
        <v>36</v>
      </c>
      <c r="K71" s="15" t="s">
        <v>65</v>
      </c>
      <c r="L71" s="15" t="s">
        <v>343</v>
      </c>
      <c r="M71" s="17">
        <v>4828.21</v>
      </c>
      <c r="N71" s="15">
        <v>7</v>
      </c>
      <c r="O71" s="18">
        <v>0.16</v>
      </c>
      <c r="P71" s="17">
        <v>835.22</v>
      </c>
      <c r="Q71" s="15" t="s">
        <v>67</v>
      </c>
      <c r="R71" s="15" t="s">
        <v>29</v>
      </c>
    </row>
    <row r="72" spans="1:18" ht="15.6">
      <c r="A72" s="15" t="s">
        <v>344</v>
      </c>
      <c r="B72" s="16">
        <v>44092</v>
      </c>
      <c r="C72" s="22">
        <v>44097</v>
      </c>
      <c r="D72" s="15" t="s">
        <v>347</v>
      </c>
      <c r="E72" s="15" t="s">
        <v>348</v>
      </c>
      <c r="F72" s="15" t="s">
        <v>43</v>
      </c>
      <c r="G72" s="15" t="s">
        <v>54</v>
      </c>
      <c r="H72" s="15" t="s">
        <v>34</v>
      </c>
      <c r="I72" s="15" t="s">
        <v>35</v>
      </c>
      <c r="J72" s="15" t="s">
        <v>110</v>
      </c>
      <c r="K72" s="15" t="s">
        <v>56</v>
      </c>
      <c r="L72" s="15" t="s">
        <v>310</v>
      </c>
      <c r="M72" s="17">
        <v>4214.49</v>
      </c>
      <c r="N72" s="15">
        <v>5</v>
      </c>
      <c r="O72" s="18">
        <v>0.02</v>
      </c>
      <c r="P72" s="17">
        <v>444.03</v>
      </c>
      <c r="Q72" s="15" t="s">
        <v>28</v>
      </c>
      <c r="R72" s="15" t="s">
        <v>83</v>
      </c>
    </row>
    <row r="73" spans="1:18" ht="15.6">
      <c r="A73" s="15" t="s">
        <v>349</v>
      </c>
      <c r="B73" s="16">
        <v>44453</v>
      </c>
      <c r="C73" s="23">
        <v>44456</v>
      </c>
      <c r="D73" s="15" t="s">
        <v>352</v>
      </c>
      <c r="E73" s="15" t="s">
        <v>353</v>
      </c>
      <c r="F73" s="15" t="s">
        <v>53</v>
      </c>
      <c r="G73" s="15" t="s">
        <v>54</v>
      </c>
      <c r="H73" s="15" t="s">
        <v>95</v>
      </c>
      <c r="I73" s="15" t="s">
        <v>35</v>
      </c>
      <c r="J73" s="15" t="s">
        <v>110</v>
      </c>
      <c r="K73" s="15" t="s">
        <v>56</v>
      </c>
      <c r="L73" s="15" t="s">
        <v>204</v>
      </c>
      <c r="M73" s="17">
        <v>1247.26</v>
      </c>
      <c r="N73" s="15">
        <v>1</v>
      </c>
      <c r="O73" s="18">
        <v>0</v>
      </c>
      <c r="P73" s="17">
        <v>112.48</v>
      </c>
      <c r="Q73" s="15" t="s">
        <v>100</v>
      </c>
      <c r="R73" s="15" t="s">
        <v>38</v>
      </c>
    </row>
    <row r="74" spans="1:18" ht="15.6">
      <c r="A74" s="15" t="s">
        <v>354</v>
      </c>
      <c r="B74" s="16">
        <v>43581</v>
      </c>
      <c r="C74" s="22">
        <v>43587</v>
      </c>
      <c r="D74" s="15" t="s">
        <v>356</v>
      </c>
      <c r="E74" s="15" t="s">
        <v>357</v>
      </c>
      <c r="F74" s="15" t="s">
        <v>43</v>
      </c>
      <c r="G74" s="15" t="s">
        <v>54</v>
      </c>
      <c r="H74" s="15" t="s">
        <v>44</v>
      </c>
      <c r="I74" s="15" t="s">
        <v>64</v>
      </c>
      <c r="J74" s="15" t="s">
        <v>36</v>
      </c>
      <c r="K74" s="15" t="s">
        <v>77</v>
      </c>
      <c r="L74" s="15" t="s">
        <v>46</v>
      </c>
      <c r="M74" s="17">
        <v>1072.54</v>
      </c>
      <c r="N74" s="15">
        <v>3</v>
      </c>
      <c r="O74" s="18">
        <v>0.1</v>
      </c>
      <c r="P74" s="17">
        <v>159.71</v>
      </c>
      <c r="Q74" s="15" t="s">
        <v>67</v>
      </c>
      <c r="R74" s="15" t="s">
        <v>38</v>
      </c>
    </row>
    <row r="75" spans="1:18" ht="15.6">
      <c r="A75" s="15" t="s">
        <v>358</v>
      </c>
      <c r="B75" s="16">
        <v>43581</v>
      </c>
      <c r="C75" s="23">
        <v>43587</v>
      </c>
      <c r="D75" s="15" t="s">
        <v>359</v>
      </c>
      <c r="E75" s="15" t="s">
        <v>360</v>
      </c>
      <c r="F75" s="15" t="s">
        <v>53</v>
      </c>
      <c r="G75" s="15" t="s">
        <v>54</v>
      </c>
      <c r="H75" s="15" t="s">
        <v>95</v>
      </c>
      <c r="I75" s="15" t="s">
        <v>55</v>
      </c>
      <c r="J75" s="15" t="s">
        <v>25</v>
      </c>
      <c r="K75" s="15" t="s">
        <v>56</v>
      </c>
      <c r="L75" s="15" t="s">
        <v>277</v>
      </c>
      <c r="M75" s="17">
        <v>2499.04</v>
      </c>
      <c r="N75" s="15">
        <v>8</v>
      </c>
      <c r="O75" s="18">
        <v>7.0000000000000007E-2</v>
      </c>
      <c r="P75" s="17">
        <v>578.17999999999995</v>
      </c>
      <c r="Q75" s="15" t="s">
        <v>67</v>
      </c>
      <c r="R75" s="15" t="s">
        <v>48</v>
      </c>
    </row>
    <row r="76" spans="1:18" ht="15.6">
      <c r="A76" s="15" t="s">
        <v>361</v>
      </c>
      <c r="B76" s="16">
        <v>43581</v>
      </c>
      <c r="C76" s="22">
        <v>43587</v>
      </c>
      <c r="D76" s="15" t="s">
        <v>362</v>
      </c>
      <c r="E76" s="15" t="s">
        <v>363</v>
      </c>
      <c r="F76" s="15" t="s">
        <v>43</v>
      </c>
      <c r="G76" s="15" t="s">
        <v>62</v>
      </c>
      <c r="H76" s="15" t="s">
        <v>34</v>
      </c>
      <c r="I76" s="15" t="s">
        <v>76</v>
      </c>
      <c r="J76" s="15" t="s">
        <v>25</v>
      </c>
      <c r="K76" s="15" t="s">
        <v>77</v>
      </c>
      <c r="L76" s="15" t="s">
        <v>130</v>
      </c>
      <c r="M76" s="17">
        <v>4867.28</v>
      </c>
      <c r="N76" s="15">
        <v>4</v>
      </c>
      <c r="O76" s="18">
        <v>0.3</v>
      </c>
      <c r="P76" s="17">
        <v>897.35</v>
      </c>
      <c r="Q76" s="15" t="s">
        <v>100</v>
      </c>
      <c r="R76" s="15" t="s">
        <v>48</v>
      </c>
    </row>
    <row r="77" spans="1:18" ht="15.6">
      <c r="A77" s="15" t="s">
        <v>364</v>
      </c>
      <c r="B77" s="16">
        <v>44539</v>
      </c>
      <c r="C77" s="23">
        <v>44541</v>
      </c>
      <c r="D77" s="15" t="s">
        <v>365</v>
      </c>
      <c r="E77" s="15" t="s">
        <v>366</v>
      </c>
      <c r="F77" s="15" t="s">
        <v>43</v>
      </c>
      <c r="G77" s="15" t="s">
        <v>33</v>
      </c>
      <c r="H77" s="15" t="s">
        <v>63</v>
      </c>
      <c r="I77" s="15" t="s">
        <v>24</v>
      </c>
      <c r="J77" s="15" t="s">
        <v>36</v>
      </c>
      <c r="K77" s="15" t="s">
        <v>26</v>
      </c>
      <c r="L77" s="15" t="s">
        <v>218</v>
      </c>
      <c r="M77" s="17">
        <v>2755.11</v>
      </c>
      <c r="N77" s="15">
        <v>6</v>
      </c>
      <c r="O77" s="18">
        <v>0.15</v>
      </c>
      <c r="P77" s="17">
        <v>868.72</v>
      </c>
      <c r="Q77" s="15" t="s">
        <v>28</v>
      </c>
      <c r="R77" s="15" t="s">
        <v>38</v>
      </c>
    </row>
    <row r="78" spans="1:18" ht="15.6">
      <c r="A78" s="15" t="s">
        <v>367</v>
      </c>
      <c r="B78" s="16">
        <v>44539</v>
      </c>
      <c r="C78" s="22">
        <v>44541</v>
      </c>
      <c r="D78" s="15" t="s">
        <v>368</v>
      </c>
      <c r="E78" s="15" t="s">
        <v>369</v>
      </c>
      <c r="F78" s="15" t="s">
        <v>21</v>
      </c>
      <c r="G78" s="15" t="s">
        <v>22</v>
      </c>
      <c r="H78" s="15" t="s">
        <v>95</v>
      </c>
      <c r="I78" s="15" t="s">
        <v>55</v>
      </c>
      <c r="J78" s="15" t="s">
        <v>36</v>
      </c>
      <c r="K78" s="15" t="s">
        <v>26</v>
      </c>
      <c r="L78" s="15" t="s">
        <v>130</v>
      </c>
      <c r="M78" s="17">
        <v>3598.23</v>
      </c>
      <c r="N78" s="15">
        <v>3</v>
      </c>
      <c r="O78" s="18">
        <v>0.06</v>
      </c>
      <c r="P78" s="17">
        <v>913.4</v>
      </c>
      <c r="Q78" s="15" t="s">
        <v>47</v>
      </c>
      <c r="R78" s="15" t="s">
        <v>48</v>
      </c>
    </row>
    <row r="79" spans="1:18" ht="15.6">
      <c r="A79" s="15" t="s">
        <v>370</v>
      </c>
      <c r="B79" s="16">
        <v>44539</v>
      </c>
      <c r="C79" s="23">
        <v>44541</v>
      </c>
      <c r="D79" s="15" t="s">
        <v>371</v>
      </c>
      <c r="E79" s="15" t="s">
        <v>372</v>
      </c>
      <c r="F79" s="15" t="s">
        <v>43</v>
      </c>
      <c r="G79" s="15" t="s">
        <v>54</v>
      </c>
      <c r="H79" s="15" t="s">
        <v>63</v>
      </c>
      <c r="I79" s="15" t="s">
        <v>76</v>
      </c>
      <c r="J79" s="15" t="s">
        <v>36</v>
      </c>
      <c r="K79" s="15" t="s">
        <v>56</v>
      </c>
      <c r="L79" s="15" t="s">
        <v>139</v>
      </c>
      <c r="M79" s="17">
        <v>1092.54</v>
      </c>
      <c r="N79" s="15">
        <v>6</v>
      </c>
      <c r="O79" s="18">
        <v>0.24</v>
      </c>
      <c r="P79" s="17">
        <v>172.65</v>
      </c>
      <c r="Q79" s="15" t="s">
        <v>58</v>
      </c>
      <c r="R79" s="15" t="s">
        <v>29</v>
      </c>
    </row>
    <row r="80" spans="1:18" ht="15.6">
      <c r="A80" s="15" t="s">
        <v>373</v>
      </c>
      <c r="B80" s="16">
        <v>43430</v>
      </c>
      <c r="C80" s="22">
        <v>43435</v>
      </c>
      <c r="D80" s="15" t="s">
        <v>375</v>
      </c>
      <c r="E80" s="15" t="s">
        <v>376</v>
      </c>
      <c r="F80" s="15" t="s">
        <v>21</v>
      </c>
      <c r="G80" s="15" t="s">
        <v>62</v>
      </c>
      <c r="H80" s="15" t="s">
        <v>44</v>
      </c>
      <c r="I80" s="15" t="s">
        <v>64</v>
      </c>
      <c r="J80" s="15" t="s">
        <v>36</v>
      </c>
      <c r="K80" s="15" t="s">
        <v>45</v>
      </c>
      <c r="L80" s="15" t="s">
        <v>377</v>
      </c>
      <c r="M80" s="17">
        <v>1147.02</v>
      </c>
      <c r="N80" s="15">
        <v>5</v>
      </c>
      <c r="O80" s="18">
        <v>0.08</v>
      </c>
      <c r="P80" s="17">
        <v>198.17</v>
      </c>
      <c r="Q80" s="15" t="s">
        <v>28</v>
      </c>
      <c r="R80" s="15" t="s">
        <v>29</v>
      </c>
    </row>
    <row r="81" spans="1:18" ht="15.6">
      <c r="A81" s="15" t="s">
        <v>378</v>
      </c>
      <c r="B81" s="16">
        <v>43994</v>
      </c>
      <c r="C81" s="23">
        <v>43997</v>
      </c>
      <c r="D81" s="15" t="s">
        <v>380</v>
      </c>
      <c r="E81" s="15" t="s">
        <v>381</v>
      </c>
      <c r="F81" s="15" t="s">
        <v>43</v>
      </c>
      <c r="G81" s="15" t="s">
        <v>62</v>
      </c>
      <c r="H81" s="15" t="s">
        <v>44</v>
      </c>
      <c r="I81" s="15" t="s">
        <v>55</v>
      </c>
      <c r="J81" s="15" t="s">
        <v>25</v>
      </c>
      <c r="K81" s="15" t="s">
        <v>77</v>
      </c>
      <c r="L81" s="15" t="s">
        <v>87</v>
      </c>
      <c r="M81" s="17">
        <v>123.4</v>
      </c>
      <c r="N81" s="15">
        <v>10</v>
      </c>
      <c r="O81" s="18">
        <v>0.21</v>
      </c>
      <c r="P81" s="17">
        <v>14.16</v>
      </c>
      <c r="Q81" s="15" t="s">
        <v>47</v>
      </c>
      <c r="R81" s="15" t="s">
        <v>48</v>
      </c>
    </row>
    <row r="82" spans="1:18" ht="15.6">
      <c r="A82" s="15" t="s">
        <v>382</v>
      </c>
      <c r="B82" s="16">
        <v>43994</v>
      </c>
      <c r="C82" s="22">
        <v>43997</v>
      </c>
      <c r="D82" s="15" t="s">
        <v>383</v>
      </c>
      <c r="E82" s="15" t="s">
        <v>384</v>
      </c>
      <c r="F82" s="15" t="s">
        <v>53</v>
      </c>
      <c r="G82" s="15" t="s">
        <v>33</v>
      </c>
      <c r="H82" s="15" t="s">
        <v>23</v>
      </c>
      <c r="I82" s="15" t="s">
        <v>76</v>
      </c>
      <c r="J82" s="15" t="s">
        <v>110</v>
      </c>
      <c r="K82" s="15" t="s">
        <v>65</v>
      </c>
      <c r="L82" s="15" t="s">
        <v>229</v>
      </c>
      <c r="M82" s="17">
        <v>2099.71</v>
      </c>
      <c r="N82" s="15">
        <v>4</v>
      </c>
      <c r="O82" s="18">
        <v>0.02</v>
      </c>
      <c r="P82" s="17">
        <v>236.14</v>
      </c>
      <c r="Q82" s="15" t="s">
        <v>47</v>
      </c>
      <c r="R82" s="15" t="s">
        <v>29</v>
      </c>
    </row>
    <row r="83" spans="1:18" ht="15.6">
      <c r="A83" s="15" t="s">
        <v>385</v>
      </c>
      <c r="B83" s="16">
        <v>43385</v>
      </c>
      <c r="C83" s="23">
        <v>43389</v>
      </c>
      <c r="D83" s="15" t="s">
        <v>387</v>
      </c>
      <c r="E83" s="15" t="s">
        <v>388</v>
      </c>
      <c r="F83" s="15" t="s">
        <v>21</v>
      </c>
      <c r="G83" s="15" t="s">
        <v>33</v>
      </c>
      <c r="H83" s="15" t="s">
        <v>63</v>
      </c>
      <c r="I83" s="15" t="s">
        <v>64</v>
      </c>
      <c r="J83" s="15" t="s">
        <v>36</v>
      </c>
      <c r="K83" s="15" t="s">
        <v>65</v>
      </c>
      <c r="L83" s="15" t="s">
        <v>389</v>
      </c>
      <c r="M83" s="17">
        <v>2917.1</v>
      </c>
      <c r="N83" s="15">
        <v>7</v>
      </c>
      <c r="O83" s="18">
        <v>0.17</v>
      </c>
      <c r="P83" s="17">
        <v>281.5</v>
      </c>
      <c r="Q83" s="15" t="s">
        <v>47</v>
      </c>
      <c r="R83" s="15" t="s">
        <v>83</v>
      </c>
    </row>
    <row r="84" spans="1:18" ht="15.6">
      <c r="A84" s="15" t="s">
        <v>390</v>
      </c>
      <c r="B84" s="16">
        <v>43385</v>
      </c>
      <c r="C84" s="22">
        <v>43389</v>
      </c>
      <c r="D84" s="15" t="s">
        <v>391</v>
      </c>
      <c r="E84" s="15" t="s">
        <v>392</v>
      </c>
      <c r="F84" s="15" t="s">
        <v>53</v>
      </c>
      <c r="G84" s="15" t="s">
        <v>62</v>
      </c>
      <c r="H84" s="15" t="s">
        <v>63</v>
      </c>
      <c r="I84" s="15" t="s">
        <v>55</v>
      </c>
      <c r="J84" s="15" t="s">
        <v>36</v>
      </c>
      <c r="K84" s="15" t="s">
        <v>45</v>
      </c>
      <c r="L84" s="15" t="s">
        <v>57</v>
      </c>
      <c r="M84" s="17">
        <v>2485.4699999999998</v>
      </c>
      <c r="N84" s="15">
        <v>8</v>
      </c>
      <c r="O84" s="18">
        <v>0.1</v>
      </c>
      <c r="P84" s="17">
        <v>469.6</v>
      </c>
      <c r="Q84" s="15" t="s">
        <v>47</v>
      </c>
      <c r="R84" s="15" t="s">
        <v>83</v>
      </c>
    </row>
    <row r="85" spans="1:18" ht="15.6">
      <c r="A85" s="15" t="s">
        <v>393</v>
      </c>
      <c r="B85" s="16">
        <v>43711</v>
      </c>
      <c r="C85" s="23">
        <v>43716</v>
      </c>
      <c r="D85" s="15" t="s">
        <v>394</v>
      </c>
      <c r="E85" s="15" t="s">
        <v>395</v>
      </c>
      <c r="F85" s="15" t="s">
        <v>21</v>
      </c>
      <c r="G85" s="15" t="s">
        <v>33</v>
      </c>
      <c r="H85" s="15" t="s">
        <v>23</v>
      </c>
      <c r="I85" s="15" t="s">
        <v>76</v>
      </c>
      <c r="J85" s="15" t="s">
        <v>110</v>
      </c>
      <c r="K85" s="15" t="s">
        <v>56</v>
      </c>
      <c r="L85" s="15" t="s">
        <v>91</v>
      </c>
      <c r="M85" s="17">
        <v>864.84</v>
      </c>
      <c r="N85" s="15">
        <v>1</v>
      </c>
      <c r="O85" s="18">
        <v>0.25</v>
      </c>
      <c r="P85" s="17">
        <v>83.12</v>
      </c>
      <c r="Q85" s="15" t="s">
        <v>67</v>
      </c>
      <c r="R85" s="15" t="s">
        <v>48</v>
      </c>
    </row>
    <row r="86" spans="1:18" ht="15.6">
      <c r="A86" s="15" t="s">
        <v>396</v>
      </c>
      <c r="B86" s="16">
        <v>44513</v>
      </c>
      <c r="C86" s="22">
        <v>44516</v>
      </c>
      <c r="D86" s="15" t="s">
        <v>399</v>
      </c>
      <c r="E86" s="15" t="s">
        <v>400</v>
      </c>
      <c r="F86" s="15" t="s">
        <v>43</v>
      </c>
      <c r="G86" s="15" t="s">
        <v>54</v>
      </c>
      <c r="H86" s="15" t="s">
        <v>44</v>
      </c>
      <c r="I86" s="15" t="s">
        <v>35</v>
      </c>
      <c r="J86" s="15" t="s">
        <v>110</v>
      </c>
      <c r="K86" s="15" t="s">
        <v>56</v>
      </c>
      <c r="L86" s="15" t="s">
        <v>72</v>
      </c>
      <c r="M86" s="17">
        <v>4149.6099999999997</v>
      </c>
      <c r="N86" s="15">
        <v>4</v>
      </c>
      <c r="O86" s="18">
        <v>0.08</v>
      </c>
      <c r="P86" s="17">
        <v>875.16</v>
      </c>
      <c r="Q86" s="15" t="s">
        <v>28</v>
      </c>
      <c r="R86" s="15" t="s">
        <v>38</v>
      </c>
    </row>
    <row r="87" spans="1:18" ht="15.6">
      <c r="A87" s="15" t="s">
        <v>401</v>
      </c>
      <c r="B87" s="16">
        <v>44344</v>
      </c>
      <c r="C87" s="23">
        <v>44346</v>
      </c>
      <c r="D87" s="15" t="s">
        <v>404</v>
      </c>
      <c r="E87" s="15" t="s">
        <v>405</v>
      </c>
      <c r="F87" s="15" t="s">
        <v>53</v>
      </c>
      <c r="G87" s="15" t="s">
        <v>54</v>
      </c>
      <c r="H87" s="15" t="s">
        <v>95</v>
      </c>
      <c r="I87" s="15" t="s">
        <v>64</v>
      </c>
      <c r="J87" s="15" t="s">
        <v>110</v>
      </c>
      <c r="K87" s="15" t="s">
        <v>65</v>
      </c>
      <c r="L87" s="15" t="s">
        <v>37</v>
      </c>
      <c r="M87" s="17">
        <v>1831.24</v>
      </c>
      <c r="N87" s="15">
        <v>3</v>
      </c>
      <c r="O87" s="18">
        <v>0.28000000000000003</v>
      </c>
      <c r="P87" s="17">
        <v>120.76</v>
      </c>
      <c r="Q87" s="15" t="s">
        <v>58</v>
      </c>
      <c r="R87" s="15" t="s">
        <v>29</v>
      </c>
    </row>
    <row r="88" spans="1:18" ht="15.6">
      <c r="A88" s="15" t="s">
        <v>406</v>
      </c>
      <c r="B88" s="16">
        <v>44495</v>
      </c>
      <c r="C88" s="22">
        <v>44502</v>
      </c>
      <c r="D88" s="15" t="s">
        <v>408</v>
      </c>
      <c r="E88" s="15" t="s">
        <v>409</v>
      </c>
      <c r="F88" s="15" t="s">
        <v>53</v>
      </c>
      <c r="G88" s="15" t="s">
        <v>62</v>
      </c>
      <c r="H88" s="15" t="s">
        <v>95</v>
      </c>
      <c r="I88" s="15" t="s">
        <v>55</v>
      </c>
      <c r="J88" s="15" t="s">
        <v>25</v>
      </c>
      <c r="K88" s="15" t="s">
        <v>26</v>
      </c>
      <c r="L88" s="15" t="s">
        <v>37</v>
      </c>
      <c r="M88" s="17">
        <v>4702.96</v>
      </c>
      <c r="N88" s="15">
        <v>2</v>
      </c>
      <c r="O88" s="18">
        <v>0.01</v>
      </c>
      <c r="P88" s="17">
        <v>714.59</v>
      </c>
      <c r="Q88" s="15" t="s">
        <v>47</v>
      </c>
      <c r="R88" s="15" t="s">
        <v>83</v>
      </c>
    </row>
    <row r="89" spans="1:18" ht="15.6">
      <c r="A89" s="15" t="s">
        <v>410</v>
      </c>
      <c r="B89" s="16">
        <v>44495</v>
      </c>
      <c r="C89" s="23">
        <v>44502</v>
      </c>
      <c r="D89" s="15" t="s">
        <v>411</v>
      </c>
      <c r="E89" s="15" t="s">
        <v>412</v>
      </c>
      <c r="F89" s="15" t="s">
        <v>43</v>
      </c>
      <c r="G89" s="15" t="s">
        <v>22</v>
      </c>
      <c r="H89" s="15" t="s">
        <v>23</v>
      </c>
      <c r="I89" s="15" t="s">
        <v>35</v>
      </c>
      <c r="J89" s="15" t="s">
        <v>110</v>
      </c>
      <c r="K89" s="15" t="s">
        <v>56</v>
      </c>
      <c r="L89" s="15" t="s">
        <v>322</v>
      </c>
      <c r="M89" s="17">
        <v>895.84</v>
      </c>
      <c r="N89" s="15">
        <v>6</v>
      </c>
      <c r="O89" s="18">
        <v>0.12</v>
      </c>
      <c r="P89" s="17">
        <v>157.34</v>
      </c>
      <c r="Q89" s="15" t="s">
        <v>58</v>
      </c>
      <c r="R89" s="15" t="s">
        <v>29</v>
      </c>
    </row>
    <row r="90" spans="1:18" ht="15.6">
      <c r="A90" s="15" t="s">
        <v>413</v>
      </c>
      <c r="B90" s="16">
        <v>43926</v>
      </c>
      <c r="C90" s="22">
        <v>43931</v>
      </c>
      <c r="D90" s="15" t="s">
        <v>414</v>
      </c>
      <c r="E90" s="15" t="s">
        <v>415</v>
      </c>
      <c r="F90" s="15" t="s">
        <v>21</v>
      </c>
      <c r="G90" s="15" t="s">
        <v>33</v>
      </c>
      <c r="H90" s="15" t="s">
        <v>95</v>
      </c>
      <c r="I90" s="15" t="s">
        <v>64</v>
      </c>
      <c r="J90" s="15" t="s">
        <v>110</v>
      </c>
      <c r="K90" s="15" t="s">
        <v>26</v>
      </c>
      <c r="L90" s="15" t="s">
        <v>139</v>
      </c>
      <c r="M90" s="17">
        <v>1918.93</v>
      </c>
      <c r="N90" s="15">
        <v>9</v>
      </c>
      <c r="O90" s="18">
        <v>0.11</v>
      </c>
      <c r="P90" s="17">
        <v>338.3</v>
      </c>
      <c r="Q90" s="15" t="s">
        <v>67</v>
      </c>
      <c r="R90" s="15" t="s">
        <v>83</v>
      </c>
    </row>
    <row r="91" spans="1:18" ht="15.6">
      <c r="A91" s="15" t="s">
        <v>416</v>
      </c>
      <c r="B91" s="16">
        <v>44091</v>
      </c>
      <c r="C91" s="23">
        <v>44096</v>
      </c>
      <c r="D91" s="15" t="s">
        <v>419</v>
      </c>
      <c r="E91" s="15" t="s">
        <v>420</v>
      </c>
      <c r="F91" s="15" t="s">
        <v>21</v>
      </c>
      <c r="G91" s="15" t="s">
        <v>33</v>
      </c>
      <c r="H91" s="15" t="s">
        <v>44</v>
      </c>
      <c r="I91" s="15" t="s">
        <v>76</v>
      </c>
      <c r="J91" s="15" t="s">
        <v>25</v>
      </c>
      <c r="K91" s="15" t="s">
        <v>45</v>
      </c>
      <c r="L91" s="15" t="s">
        <v>421</v>
      </c>
      <c r="M91" s="17">
        <v>1953.71</v>
      </c>
      <c r="N91" s="15">
        <v>1</v>
      </c>
      <c r="O91" s="18">
        <v>0.26</v>
      </c>
      <c r="P91" s="17">
        <v>680.05</v>
      </c>
      <c r="Q91" s="15" t="s">
        <v>28</v>
      </c>
      <c r="R91" s="15" t="s">
        <v>48</v>
      </c>
    </row>
    <row r="92" spans="1:18" ht="15.6">
      <c r="A92" s="15" t="s">
        <v>422</v>
      </c>
      <c r="B92" s="16">
        <v>44091</v>
      </c>
      <c r="C92" s="22">
        <v>44096</v>
      </c>
      <c r="D92" s="15" t="s">
        <v>423</v>
      </c>
      <c r="E92" s="15" t="s">
        <v>424</v>
      </c>
      <c r="F92" s="15" t="s">
        <v>43</v>
      </c>
      <c r="G92" s="15" t="s">
        <v>62</v>
      </c>
      <c r="H92" s="15" t="s">
        <v>63</v>
      </c>
      <c r="I92" s="15" t="s">
        <v>76</v>
      </c>
      <c r="J92" s="15" t="s">
        <v>110</v>
      </c>
      <c r="K92" s="15" t="s">
        <v>56</v>
      </c>
      <c r="L92" s="15" t="s">
        <v>225</v>
      </c>
      <c r="M92" s="17">
        <v>3863.59</v>
      </c>
      <c r="N92" s="15">
        <v>4</v>
      </c>
      <c r="O92" s="18">
        <v>0.16</v>
      </c>
      <c r="P92" s="17">
        <v>1157.47</v>
      </c>
      <c r="Q92" s="15" t="s">
        <v>100</v>
      </c>
      <c r="R92" s="15" t="s">
        <v>38</v>
      </c>
    </row>
    <row r="93" spans="1:18" ht="15.6">
      <c r="A93" s="15" t="s">
        <v>425</v>
      </c>
      <c r="B93" s="16">
        <v>44091</v>
      </c>
      <c r="C93" s="23">
        <v>44096</v>
      </c>
      <c r="D93" s="15" t="s">
        <v>223</v>
      </c>
      <c r="E93" s="15" t="s">
        <v>426</v>
      </c>
      <c r="F93" s="15" t="s">
        <v>21</v>
      </c>
      <c r="G93" s="15" t="s">
        <v>62</v>
      </c>
      <c r="H93" s="15" t="s">
        <v>63</v>
      </c>
      <c r="I93" s="15" t="s">
        <v>64</v>
      </c>
      <c r="J93" s="15" t="s">
        <v>25</v>
      </c>
      <c r="K93" s="15" t="s">
        <v>45</v>
      </c>
      <c r="L93" s="15" t="s">
        <v>303</v>
      </c>
      <c r="M93" s="17">
        <v>2754.41</v>
      </c>
      <c r="N93" s="15">
        <v>8</v>
      </c>
      <c r="O93" s="18">
        <v>0.2</v>
      </c>
      <c r="P93" s="17">
        <v>777.04</v>
      </c>
      <c r="Q93" s="15" t="s">
        <v>100</v>
      </c>
      <c r="R93" s="15" t="s">
        <v>83</v>
      </c>
    </row>
    <row r="94" spans="1:18" ht="15.6">
      <c r="A94" s="15" t="s">
        <v>427</v>
      </c>
      <c r="B94" s="16">
        <v>43496</v>
      </c>
      <c r="C94" s="22">
        <v>43501</v>
      </c>
      <c r="D94" s="15" t="s">
        <v>206</v>
      </c>
      <c r="E94" s="15" t="s">
        <v>429</v>
      </c>
      <c r="F94" s="15" t="s">
        <v>21</v>
      </c>
      <c r="G94" s="15" t="s">
        <v>22</v>
      </c>
      <c r="H94" s="15" t="s">
        <v>95</v>
      </c>
      <c r="I94" s="15" t="s">
        <v>76</v>
      </c>
      <c r="J94" s="15" t="s">
        <v>25</v>
      </c>
      <c r="K94" s="15" t="s">
        <v>77</v>
      </c>
      <c r="L94" s="15" t="s">
        <v>310</v>
      </c>
      <c r="M94" s="17">
        <v>1458.96</v>
      </c>
      <c r="N94" s="15">
        <v>8</v>
      </c>
      <c r="O94" s="18">
        <v>0.13</v>
      </c>
      <c r="P94" s="17">
        <v>277.88</v>
      </c>
      <c r="Q94" s="15" t="s">
        <v>28</v>
      </c>
      <c r="R94" s="15" t="s">
        <v>48</v>
      </c>
    </row>
    <row r="95" spans="1:18" ht="15.6">
      <c r="A95" s="15" t="s">
        <v>430</v>
      </c>
      <c r="B95" s="16">
        <v>43496</v>
      </c>
      <c r="C95" s="23">
        <v>43501</v>
      </c>
      <c r="D95" s="15" t="s">
        <v>431</v>
      </c>
      <c r="E95" s="15" t="s">
        <v>432</v>
      </c>
      <c r="F95" s="15" t="s">
        <v>43</v>
      </c>
      <c r="G95" s="15" t="s">
        <v>54</v>
      </c>
      <c r="H95" s="15" t="s">
        <v>95</v>
      </c>
      <c r="I95" s="15" t="s">
        <v>55</v>
      </c>
      <c r="J95" s="15" t="s">
        <v>25</v>
      </c>
      <c r="K95" s="15" t="s">
        <v>56</v>
      </c>
      <c r="L95" s="15" t="s">
        <v>111</v>
      </c>
      <c r="M95" s="17">
        <v>3899.94</v>
      </c>
      <c r="N95" s="15">
        <v>4</v>
      </c>
      <c r="O95" s="18">
        <v>0.17</v>
      </c>
      <c r="P95" s="17">
        <v>492.53</v>
      </c>
      <c r="Q95" s="15" t="s">
        <v>47</v>
      </c>
      <c r="R95" s="15" t="s">
        <v>83</v>
      </c>
    </row>
    <row r="96" spans="1:18" ht="15.6">
      <c r="A96" s="15" t="s">
        <v>433</v>
      </c>
      <c r="B96" s="16">
        <v>43496</v>
      </c>
      <c r="C96" s="22">
        <v>43501</v>
      </c>
      <c r="D96" s="15" t="s">
        <v>434</v>
      </c>
      <c r="E96" s="15" t="s">
        <v>435</v>
      </c>
      <c r="F96" s="15" t="s">
        <v>21</v>
      </c>
      <c r="G96" s="15" t="s">
        <v>62</v>
      </c>
      <c r="H96" s="15" t="s">
        <v>63</v>
      </c>
      <c r="I96" s="15" t="s">
        <v>55</v>
      </c>
      <c r="J96" s="15" t="s">
        <v>25</v>
      </c>
      <c r="K96" s="15" t="s">
        <v>45</v>
      </c>
      <c r="L96" s="15" t="s">
        <v>188</v>
      </c>
      <c r="M96" s="17">
        <v>1863.66</v>
      </c>
      <c r="N96" s="15">
        <v>9</v>
      </c>
      <c r="O96" s="18">
        <v>0.27</v>
      </c>
      <c r="P96" s="17">
        <v>431.31</v>
      </c>
      <c r="Q96" s="15" t="s">
        <v>58</v>
      </c>
      <c r="R96" s="15" t="s">
        <v>83</v>
      </c>
    </row>
    <row r="97" spans="1:18" ht="15.6">
      <c r="A97" s="15" t="s">
        <v>436</v>
      </c>
      <c r="B97" s="16">
        <v>44506</v>
      </c>
      <c r="C97" s="23">
        <v>44512</v>
      </c>
      <c r="D97" s="15" t="s">
        <v>437</v>
      </c>
      <c r="E97" s="15" t="s">
        <v>438</v>
      </c>
      <c r="F97" s="15" t="s">
        <v>21</v>
      </c>
      <c r="G97" s="15" t="s">
        <v>62</v>
      </c>
      <c r="H97" s="15" t="s">
        <v>34</v>
      </c>
      <c r="I97" s="15" t="s">
        <v>55</v>
      </c>
      <c r="J97" s="15" t="s">
        <v>110</v>
      </c>
      <c r="K97" s="15" t="s">
        <v>65</v>
      </c>
      <c r="L97" s="15" t="s">
        <v>439</v>
      </c>
      <c r="M97" s="17">
        <v>1067.43</v>
      </c>
      <c r="N97" s="15">
        <v>8</v>
      </c>
      <c r="O97" s="18">
        <v>0.11</v>
      </c>
      <c r="P97" s="17">
        <v>139.09</v>
      </c>
      <c r="Q97" s="15" t="s">
        <v>47</v>
      </c>
      <c r="R97" s="15" t="s">
        <v>29</v>
      </c>
    </row>
    <row r="98" spans="1:18" ht="15.6">
      <c r="A98" s="15" t="s">
        <v>440</v>
      </c>
      <c r="B98" s="16">
        <v>44509</v>
      </c>
      <c r="C98" s="22">
        <v>44511</v>
      </c>
      <c r="D98" s="15" t="s">
        <v>441</v>
      </c>
      <c r="E98" s="15" t="s">
        <v>442</v>
      </c>
      <c r="F98" s="15" t="s">
        <v>53</v>
      </c>
      <c r="G98" s="15" t="s">
        <v>33</v>
      </c>
      <c r="H98" s="15" t="s">
        <v>44</v>
      </c>
      <c r="I98" s="15" t="s">
        <v>35</v>
      </c>
      <c r="J98" s="15" t="s">
        <v>110</v>
      </c>
      <c r="K98" s="15" t="s">
        <v>45</v>
      </c>
      <c r="L98" s="15" t="s">
        <v>157</v>
      </c>
      <c r="M98" s="17">
        <v>3038.54</v>
      </c>
      <c r="N98" s="15">
        <v>10</v>
      </c>
      <c r="O98" s="18">
        <v>0.14000000000000001</v>
      </c>
      <c r="P98" s="17">
        <v>935.16</v>
      </c>
      <c r="Q98" s="15" t="s">
        <v>58</v>
      </c>
      <c r="R98" s="15" t="s">
        <v>29</v>
      </c>
    </row>
    <row r="99" spans="1:18" ht="15.6">
      <c r="A99" s="15" t="s">
        <v>443</v>
      </c>
      <c r="B99" s="16">
        <v>44364</v>
      </c>
      <c r="C99" s="23">
        <v>44367</v>
      </c>
      <c r="D99" s="15" t="s">
        <v>446</v>
      </c>
      <c r="E99" s="15" t="s">
        <v>447</v>
      </c>
      <c r="F99" s="15" t="s">
        <v>43</v>
      </c>
      <c r="G99" s="15" t="s">
        <v>62</v>
      </c>
      <c r="H99" s="15" t="s">
        <v>44</v>
      </c>
      <c r="I99" s="15" t="s">
        <v>35</v>
      </c>
      <c r="J99" s="15" t="s">
        <v>110</v>
      </c>
      <c r="K99" s="15" t="s">
        <v>77</v>
      </c>
      <c r="L99" s="15" t="s">
        <v>157</v>
      </c>
      <c r="M99" s="17">
        <v>4402.57</v>
      </c>
      <c r="N99" s="15">
        <v>2</v>
      </c>
      <c r="O99" s="18">
        <v>0.14000000000000001</v>
      </c>
      <c r="P99" s="17">
        <v>1388.61</v>
      </c>
      <c r="Q99" s="15" t="s">
        <v>100</v>
      </c>
      <c r="R99" s="15" t="s">
        <v>29</v>
      </c>
    </row>
    <row r="100" spans="1:18" ht="15.6">
      <c r="A100" s="15" t="s">
        <v>448</v>
      </c>
      <c r="B100" s="16">
        <v>44080</v>
      </c>
      <c r="C100" s="22">
        <v>44085</v>
      </c>
      <c r="D100" s="15" t="s">
        <v>449</v>
      </c>
      <c r="E100" s="15" t="s">
        <v>450</v>
      </c>
      <c r="F100" s="15" t="s">
        <v>43</v>
      </c>
      <c r="G100" s="15" t="s">
        <v>54</v>
      </c>
      <c r="H100" s="15" t="s">
        <v>63</v>
      </c>
      <c r="I100" s="15" t="s">
        <v>76</v>
      </c>
      <c r="J100" s="15" t="s">
        <v>25</v>
      </c>
      <c r="K100" s="15" t="s">
        <v>77</v>
      </c>
      <c r="L100" s="15" t="s">
        <v>229</v>
      </c>
      <c r="M100" s="17">
        <v>4931.09</v>
      </c>
      <c r="N100" s="15">
        <v>3</v>
      </c>
      <c r="O100" s="18">
        <v>0.2</v>
      </c>
      <c r="P100" s="17">
        <v>1589.75</v>
      </c>
      <c r="Q100" s="15" t="s">
        <v>67</v>
      </c>
      <c r="R100" s="15" t="s">
        <v>29</v>
      </c>
    </row>
    <row r="101" spans="1:18" ht="15.6">
      <c r="A101" s="15" t="s">
        <v>451</v>
      </c>
      <c r="B101" s="16">
        <v>44072</v>
      </c>
      <c r="C101" s="23">
        <v>44076</v>
      </c>
      <c r="D101" s="15" t="s">
        <v>453</v>
      </c>
      <c r="E101" s="15" t="s">
        <v>454</v>
      </c>
      <c r="F101" s="15" t="s">
        <v>43</v>
      </c>
      <c r="G101" s="15" t="s">
        <v>62</v>
      </c>
      <c r="H101" s="15" t="s">
        <v>63</v>
      </c>
      <c r="I101" s="15" t="s">
        <v>76</v>
      </c>
      <c r="J101" s="15" t="s">
        <v>36</v>
      </c>
      <c r="K101" s="15" t="s">
        <v>65</v>
      </c>
      <c r="L101" s="15" t="s">
        <v>91</v>
      </c>
      <c r="M101" s="17">
        <v>1028.25</v>
      </c>
      <c r="N101" s="15">
        <v>6</v>
      </c>
      <c r="O101" s="18">
        <v>0.28000000000000003</v>
      </c>
      <c r="P101" s="17">
        <v>211.85</v>
      </c>
      <c r="Q101" s="15" t="s">
        <v>58</v>
      </c>
      <c r="R101" s="15" t="s">
        <v>29</v>
      </c>
    </row>
    <row r="102" spans="1:18" ht="15.6">
      <c r="A102" s="15"/>
      <c r="B102" s="19"/>
      <c r="C102" s="20"/>
      <c r="D102" s="15"/>
      <c r="E102" s="15"/>
      <c r="F102" s="15"/>
      <c r="G102" s="15"/>
      <c r="H102" s="15"/>
      <c r="I102" s="15"/>
      <c r="J102" s="15"/>
      <c r="K102" s="15"/>
      <c r="L102" s="15"/>
      <c r="M102" s="17"/>
      <c r="N102" s="15"/>
      <c r="O102" s="18"/>
      <c r="P102" s="17"/>
      <c r="Q102" s="15"/>
      <c r="R102" s="15"/>
    </row>
  </sheetData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51"/>
  <sheetViews>
    <sheetView zoomScale="86" zoomScaleNormal="57" workbookViewId="0">
      <selection activeCell="B8" sqref="B8"/>
    </sheetView>
  </sheetViews>
  <sheetFormatPr defaultColWidth="9" defaultRowHeight="14.4"/>
  <cols>
    <col min="1" max="1" width="12.5546875" customWidth="1"/>
    <col min="2" max="2" width="14.88671875" customWidth="1"/>
    <col min="4" max="4" width="14.6640625" customWidth="1"/>
    <col min="5" max="5" width="11.6640625" customWidth="1"/>
    <col min="6" max="7" width="14.88671875" customWidth="1"/>
    <col min="9" max="9" width="12.5546875" customWidth="1"/>
    <col min="10" max="10" width="15.33203125" customWidth="1"/>
    <col min="12" max="12" width="13" customWidth="1"/>
    <col min="13" max="14" width="11.88671875" customWidth="1"/>
  </cols>
  <sheetData>
    <row r="3" spans="1:16">
      <c r="A3" s="2" t="s">
        <v>456</v>
      </c>
      <c r="B3" s="2" t="s">
        <v>457</v>
      </c>
      <c r="D3" s="2" t="s">
        <v>456</v>
      </c>
      <c r="E3" s="2" t="s">
        <v>458</v>
      </c>
    </row>
    <row r="4" spans="1:16">
      <c r="A4" s="3" t="s">
        <v>62</v>
      </c>
      <c r="B4" s="4">
        <v>43110.73</v>
      </c>
      <c r="D4" s="3" t="s">
        <v>25</v>
      </c>
      <c r="E4" s="2">
        <v>14495.81</v>
      </c>
    </row>
    <row r="5" spans="1:16">
      <c r="A5" s="3" t="s">
        <v>33</v>
      </c>
      <c r="B5" s="4">
        <v>69680.570000000007</v>
      </c>
      <c r="D5" s="3" t="s">
        <v>110</v>
      </c>
      <c r="E5" s="2">
        <v>13776.65</v>
      </c>
    </row>
    <row r="6" spans="1:16">
      <c r="A6" s="3" t="s">
        <v>54</v>
      </c>
      <c r="B6" s="4">
        <v>64430.18</v>
      </c>
      <c r="D6" s="3" t="s">
        <v>36</v>
      </c>
      <c r="E6" s="2">
        <v>15597.9</v>
      </c>
      <c r="I6" s="2" t="s">
        <v>456</v>
      </c>
      <c r="J6" s="2" t="s">
        <v>459</v>
      </c>
      <c r="L6" s="2" t="s">
        <v>456</v>
      </c>
      <c r="M6" s="2" t="s">
        <v>457</v>
      </c>
      <c r="O6" t="s">
        <v>464</v>
      </c>
      <c r="P6" t="s">
        <v>12</v>
      </c>
    </row>
    <row r="7" spans="1:16">
      <c r="A7" s="3" t="s">
        <v>22</v>
      </c>
      <c r="B7" s="4">
        <v>59483.98</v>
      </c>
      <c r="D7" s="3" t="s">
        <v>460</v>
      </c>
      <c r="E7" s="2">
        <v>43870.36</v>
      </c>
      <c r="I7" s="3" t="s">
        <v>67</v>
      </c>
      <c r="J7" s="2">
        <v>477.42047619047599</v>
      </c>
      <c r="L7" s="3" t="s">
        <v>96</v>
      </c>
      <c r="M7" s="2">
        <v>1694.48</v>
      </c>
      <c r="O7" t="s">
        <v>465</v>
      </c>
      <c r="P7">
        <v>5251.16</v>
      </c>
    </row>
    <row r="8" spans="1:16">
      <c r="A8" s="3" t="s">
        <v>460</v>
      </c>
      <c r="B8" s="4">
        <v>236705.46</v>
      </c>
      <c r="I8" s="3" t="s">
        <v>28</v>
      </c>
      <c r="J8" s="2">
        <v>442.11058823529402</v>
      </c>
      <c r="L8" s="3" t="s">
        <v>239</v>
      </c>
      <c r="M8" s="2">
        <v>3137.97</v>
      </c>
      <c r="O8" t="s">
        <v>466</v>
      </c>
      <c r="P8">
        <v>7492.58</v>
      </c>
    </row>
    <row r="9" spans="1:16">
      <c r="I9" s="3" t="s">
        <v>58</v>
      </c>
      <c r="J9" s="2">
        <v>305.87599999999998</v>
      </c>
      <c r="L9" s="3" t="s">
        <v>377</v>
      </c>
      <c r="M9" s="2">
        <v>1147.02</v>
      </c>
      <c r="O9" t="s">
        <v>467</v>
      </c>
      <c r="P9">
        <v>12969.54</v>
      </c>
    </row>
    <row r="10" spans="1:16">
      <c r="D10" s="2" t="s">
        <v>456</v>
      </c>
      <c r="E10" s="2" t="s">
        <v>457</v>
      </c>
      <c r="F10" s="2" t="s">
        <v>461</v>
      </c>
      <c r="G10" s="2" t="s">
        <v>462</v>
      </c>
      <c r="I10" s="3" t="s">
        <v>100</v>
      </c>
      <c r="J10" s="2">
        <v>676.11357142857105</v>
      </c>
      <c r="L10" s="3" t="s">
        <v>281</v>
      </c>
      <c r="M10" s="2">
        <v>5080.29</v>
      </c>
      <c r="O10" t="s">
        <v>468</v>
      </c>
      <c r="P10">
        <v>607.19000000000005</v>
      </c>
    </row>
    <row r="11" spans="1:16">
      <c r="D11" s="3" t="s">
        <v>55</v>
      </c>
      <c r="E11" s="2">
        <v>74352.08</v>
      </c>
      <c r="F11" s="2">
        <v>3.11</v>
      </c>
      <c r="G11" s="2">
        <v>152</v>
      </c>
      <c r="I11" s="3" t="s">
        <v>47</v>
      </c>
      <c r="J11" s="2">
        <v>400.70260869565197</v>
      </c>
      <c r="L11" s="3" t="s">
        <v>147</v>
      </c>
      <c r="M11" s="2">
        <v>3880.05</v>
      </c>
      <c r="O11" t="s">
        <v>469</v>
      </c>
      <c r="P11">
        <v>1335.74</v>
      </c>
    </row>
    <row r="12" spans="1:16">
      <c r="D12" s="3" t="s">
        <v>76</v>
      </c>
      <c r="E12" s="2">
        <v>51600.41</v>
      </c>
      <c r="F12" s="2">
        <v>4.04</v>
      </c>
      <c r="G12" s="2">
        <v>132</v>
      </c>
      <c r="I12" s="3" t="s">
        <v>460</v>
      </c>
      <c r="J12" s="2">
        <v>438.70359999999999</v>
      </c>
      <c r="L12" s="3" t="s">
        <v>218</v>
      </c>
      <c r="M12" s="2">
        <v>4732.78</v>
      </c>
      <c r="O12" t="s">
        <v>470</v>
      </c>
      <c r="P12">
        <v>5402.57</v>
      </c>
    </row>
    <row r="13" spans="1:16">
      <c r="D13" s="3" t="s">
        <v>35</v>
      </c>
      <c r="E13" s="2">
        <v>37661.17</v>
      </c>
      <c r="F13" s="2">
        <v>1.96</v>
      </c>
      <c r="G13" s="2">
        <v>76</v>
      </c>
      <c r="L13" s="3" t="s">
        <v>91</v>
      </c>
      <c r="M13" s="2">
        <v>6716.14</v>
      </c>
      <c r="O13" t="s">
        <v>471</v>
      </c>
      <c r="P13">
        <v>7222.56</v>
      </c>
    </row>
    <row r="14" spans="1:16">
      <c r="D14" s="3" t="s">
        <v>64</v>
      </c>
      <c r="E14" s="2">
        <v>32928.92</v>
      </c>
      <c r="F14" s="2">
        <v>2.64</v>
      </c>
      <c r="G14" s="2">
        <v>101</v>
      </c>
      <c r="L14" s="3" t="s">
        <v>188</v>
      </c>
      <c r="M14" s="2">
        <v>6445.7</v>
      </c>
      <c r="O14" t="s">
        <v>472</v>
      </c>
      <c r="P14">
        <v>864.84</v>
      </c>
    </row>
    <row r="15" spans="1:16">
      <c r="D15" s="3" t="s">
        <v>24</v>
      </c>
      <c r="E15" s="2">
        <v>40162.879999999997</v>
      </c>
      <c r="F15" s="2">
        <v>2.81</v>
      </c>
      <c r="G15" s="2">
        <v>89</v>
      </c>
      <c r="L15" s="3" t="s">
        <v>111</v>
      </c>
      <c r="M15" s="2">
        <v>4489.05</v>
      </c>
      <c r="O15" t="s">
        <v>473</v>
      </c>
      <c r="P15">
        <v>19831.72</v>
      </c>
    </row>
    <row r="16" spans="1:16">
      <c r="D16" s="3" t="s">
        <v>460</v>
      </c>
      <c r="E16" s="2">
        <v>236705.46</v>
      </c>
      <c r="F16" s="2">
        <v>14.56</v>
      </c>
      <c r="G16" s="2">
        <v>550</v>
      </c>
      <c r="L16" s="3" t="s">
        <v>225</v>
      </c>
      <c r="M16" s="2">
        <v>8284.31</v>
      </c>
      <c r="O16" t="s">
        <v>474</v>
      </c>
      <c r="P16">
        <v>18310.39</v>
      </c>
    </row>
    <row r="17" spans="1:16">
      <c r="L17" s="3" t="s">
        <v>163</v>
      </c>
      <c r="M17" s="2">
        <v>675.86</v>
      </c>
      <c r="O17" t="s">
        <v>475</v>
      </c>
      <c r="P17">
        <v>22893.29</v>
      </c>
    </row>
    <row r="18" spans="1:16">
      <c r="L18" s="3" t="s">
        <v>262</v>
      </c>
      <c r="M18" s="2">
        <v>1520.37</v>
      </c>
      <c r="O18" t="s">
        <v>476</v>
      </c>
      <c r="P18">
        <v>9676.0499999999993</v>
      </c>
    </row>
    <row r="19" spans="1:16">
      <c r="A19" s="2" t="s">
        <v>456</v>
      </c>
      <c r="B19" s="2" t="s">
        <v>461</v>
      </c>
      <c r="L19" s="3" t="s">
        <v>343</v>
      </c>
      <c r="M19" s="2">
        <v>4828.21</v>
      </c>
      <c r="O19" t="s">
        <v>477</v>
      </c>
      <c r="P19">
        <v>8088.5</v>
      </c>
    </row>
    <row r="20" spans="1:16">
      <c r="A20" s="3" t="s">
        <v>23</v>
      </c>
      <c r="B20" s="2">
        <v>2.74</v>
      </c>
      <c r="L20" s="3" t="s">
        <v>184</v>
      </c>
      <c r="M20" s="2">
        <v>9101.83</v>
      </c>
      <c r="O20" t="s">
        <v>478</v>
      </c>
      <c r="P20">
        <v>4828.21</v>
      </c>
    </row>
    <row r="21" spans="1:16">
      <c r="A21" s="3" t="s">
        <v>44</v>
      </c>
      <c r="B21" s="2">
        <v>3.6</v>
      </c>
      <c r="L21" s="3" t="s">
        <v>212</v>
      </c>
      <c r="M21" s="2">
        <v>4784.9399999999996</v>
      </c>
      <c r="O21" t="s">
        <v>479</v>
      </c>
      <c r="P21">
        <v>2411.58</v>
      </c>
    </row>
    <row r="22" spans="1:16">
      <c r="A22" s="3" t="s">
        <v>63</v>
      </c>
      <c r="B22" s="2">
        <v>3.19</v>
      </c>
      <c r="L22" s="3" t="s">
        <v>37</v>
      </c>
      <c r="M22" s="2">
        <v>11002.26</v>
      </c>
      <c r="O22" t="s">
        <v>480</v>
      </c>
      <c r="P22">
        <v>24463.55</v>
      </c>
    </row>
    <row r="23" spans="1:16">
      <c r="A23" s="3" t="s">
        <v>95</v>
      </c>
      <c r="B23" s="2">
        <v>2.21</v>
      </c>
      <c r="L23" s="3" t="s">
        <v>310</v>
      </c>
      <c r="M23" s="2">
        <v>8005.43</v>
      </c>
      <c r="O23" t="s">
        <v>481</v>
      </c>
      <c r="P23">
        <v>3137.97</v>
      </c>
    </row>
    <row r="24" spans="1:16">
      <c r="A24" s="3" t="s">
        <v>34</v>
      </c>
      <c r="B24" s="2">
        <v>2.82</v>
      </c>
      <c r="L24" s="3" t="s">
        <v>120</v>
      </c>
      <c r="M24" s="2">
        <v>1955.82</v>
      </c>
      <c r="O24" t="s">
        <v>482</v>
      </c>
      <c r="P24">
        <v>13271.19</v>
      </c>
    </row>
    <row r="25" spans="1:16">
      <c r="A25" s="3" t="s">
        <v>460</v>
      </c>
      <c r="B25" s="2">
        <v>14.56</v>
      </c>
      <c r="L25" s="3" t="s">
        <v>72</v>
      </c>
      <c r="M25" s="2">
        <v>8318.6</v>
      </c>
      <c r="O25" t="s">
        <v>483</v>
      </c>
      <c r="P25">
        <v>17882.88</v>
      </c>
    </row>
    <row r="26" spans="1:16">
      <c r="L26" s="3" t="s">
        <v>27</v>
      </c>
      <c r="M26" s="2">
        <v>1950.71</v>
      </c>
      <c r="O26" t="s">
        <v>484</v>
      </c>
      <c r="P26">
        <v>7607.77</v>
      </c>
    </row>
    <row r="27" spans="1:16">
      <c r="L27" s="3" t="s">
        <v>172</v>
      </c>
      <c r="M27" s="2">
        <v>3742.64</v>
      </c>
      <c r="O27" t="s">
        <v>485</v>
      </c>
      <c r="P27">
        <v>5065.71</v>
      </c>
    </row>
    <row r="28" spans="1:16">
      <c r="L28" s="3" t="s">
        <v>46</v>
      </c>
      <c r="M28" s="2">
        <v>9804.7099999999991</v>
      </c>
      <c r="O28" t="s">
        <v>486</v>
      </c>
      <c r="P28">
        <v>2842.49</v>
      </c>
    </row>
    <row r="29" spans="1:16">
      <c r="L29" s="3" t="s">
        <v>229</v>
      </c>
      <c r="M29" s="2">
        <v>10210.91</v>
      </c>
      <c r="O29" t="s">
        <v>487</v>
      </c>
      <c r="P29">
        <v>1831.24</v>
      </c>
    </row>
    <row r="30" spans="1:16">
      <c r="L30" s="3" t="s">
        <v>57</v>
      </c>
      <c r="M30" s="2">
        <v>7341.6</v>
      </c>
      <c r="O30" t="s">
        <v>488</v>
      </c>
      <c r="P30">
        <v>5470</v>
      </c>
    </row>
    <row r="31" spans="1:16">
      <c r="L31" s="3" t="s">
        <v>303</v>
      </c>
      <c r="M31" s="2">
        <v>5503.55</v>
      </c>
      <c r="O31" t="s">
        <v>489</v>
      </c>
      <c r="P31">
        <v>1018.33</v>
      </c>
    </row>
    <row r="32" spans="1:16">
      <c r="L32" s="3" t="s">
        <v>277</v>
      </c>
      <c r="M32" s="2">
        <v>9881.18</v>
      </c>
      <c r="O32" t="s">
        <v>490</v>
      </c>
      <c r="P32">
        <v>12929.33</v>
      </c>
    </row>
    <row r="33" spans="12:16">
      <c r="L33" s="3" t="s">
        <v>322</v>
      </c>
      <c r="M33" s="2">
        <v>4403.05</v>
      </c>
      <c r="O33" t="s">
        <v>491</v>
      </c>
      <c r="P33">
        <v>9849.4699999999993</v>
      </c>
    </row>
    <row r="34" spans="12:16">
      <c r="L34" s="3" t="s">
        <v>66</v>
      </c>
      <c r="M34" s="2">
        <v>7946.68</v>
      </c>
      <c r="O34" t="s">
        <v>492</v>
      </c>
      <c r="P34">
        <v>4149.6099999999997</v>
      </c>
    </row>
    <row r="35" spans="12:16">
      <c r="L35" s="3" t="s">
        <v>130</v>
      </c>
      <c r="M35" s="2">
        <v>12081.75</v>
      </c>
    </row>
    <row r="36" spans="12:16">
      <c r="L36" s="3" t="s">
        <v>157</v>
      </c>
      <c r="M36" s="2">
        <v>8459.44</v>
      </c>
    </row>
    <row r="37" spans="12:16">
      <c r="L37" s="3" t="s">
        <v>87</v>
      </c>
      <c r="M37" s="2">
        <v>6095.95</v>
      </c>
    </row>
    <row r="38" spans="12:16">
      <c r="L38" s="3" t="s">
        <v>82</v>
      </c>
      <c r="M38" s="2">
        <v>13063.83</v>
      </c>
    </row>
    <row r="39" spans="12:16">
      <c r="L39" s="3" t="s">
        <v>195</v>
      </c>
      <c r="M39" s="2">
        <v>3475.7</v>
      </c>
    </row>
    <row r="40" spans="12:16">
      <c r="L40" s="3" t="s">
        <v>204</v>
      </c>
      <c r="M40" s="2">
        <v>2433.08</v>
      </c>
    </row>
    <row r="41" spans="12:16">
      <c r="L41" s="3" t="s">
        <v>151</v>
      </c>
      <c r="M41" s="2">
        <v>3601.79</v>
      </c>
    </row>
    <row r="42" spans="12:16">
      <c r="L42" s="3" t="s">
        <v>106</v>
      </c>
      <c r="M42" s="2">
        <v>2842.49</v>
      </c>
    </row>
    <row r="43" spans="12:16">
      <c r="L43" s="3" t="s">
        <v>139</v>
      </c>
      <c r="M43" s="2">
        <v>5978.26</v>
      </c>
    </row>
    <row r="44" spans="12:16">
      <c r="L44" s="3" t="s">
        <v>135</v>
      </c>
      <c r="M44" s="2">
        <v>3740.31</v>
      </c>
    </row>
    <row r="45" spans="12:16">
      <c r="L45" s="3" t="s">
        <v>326</v>
      </c>
      <c r="M45" s="2">
        <v>3624.61</v>
      </c>
    </row>
    <row r="46" spans="12:16">
      <c r="L46" s="3" t="s">
        <v>421</v>
      </c>
      <c r="M46" s="2">
        <v>1953.71</v>
      </c>
    </row>
    <row r="47" spans="12:16">
      <c r="L47" s="3" t="s">
        <v>439</v>
      </c>
      <c r="M47" s="2">
        <v>1067.43</v>
      </c>
    </row>
    <row r="48" spans="12:16">
      <c r="L48" s="3" t="s">
        <v>208</v>
      </c>
      <c r="M48" s="2">
        <v>3980.49</v>
      </c>
    </row>
    <row r="49" spans="12:13">
      <c r="L49" s="3" t="s">
        <v>389</v>
      </c>
      <c r="M49" s="2">
        <v>2917.1</v>
      </c>
    </row>
    <row r="50" spans="12:13">
      <c r="L50" s="3" t="s">
        <v>78</v>
      </c>
      <c r="M50" s="2">
        <v>4803.38</v>
      </c>
    </row>
    <row r="51" spans="12:13">
      <c r="L51" s="3" t="s">
        <v>460</v>
      </c>
      <c r="M51" s="2">
        <v>236705.46</v>
      </c>
    </row>
  </sheetData>
  <conditionalFormatting sqref="Q10:Q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8"/>
  <sheetViews>
    <sheetView topLeftCell="H14" zoomScale="35" zoomScaleNormal="47" workbookViewId="0">
      <selection activeCell="AT39" sqref="AT39"/>
    </sheetView>
  </sheetViews>
  <sheetFormatPr defaultColWidth="9" defaultRowHeight="14.4"/>
  <cols>
    <col min="1" max="1" width="16.44140625" customWidth="1"/>
    <col min="4" max="4" width="13.77734375" customWidth="1"/>
    <col min="5" max="5" width="13.33203125" customWidth="1"/>
    <col min="14" max="14" width="28.77734375" customWidth="1"/>
    <col min="22" max="22" width="8.88671875" customWidth="1"/>
    <col min="23" max="23" width="12.33203125" customWidth="1"/>
    <col min="24" max="24" width="9.109375" bestFit="1" customWidth="1"/>
    <col min="27" max="27" width="14.5546875" customWidth="1"/>
    <col min="28" max="28" width="7" customWidth="1"/>
    <col min="29" max="29" width="12.77734375" customWidth="1"/>
    <col min="30" max="30" width="5.88671875" customWidth="1"/>
    <col min="31" max="31" width="31.44140625" customWidth="1"/>
    <col min="32" max="32" width="17" customWidth="1"/>
    <col min="33" max="33" width="9" hidden="1" customWidth="1"/>
    <col min="34" max="34" width="12.5546875" customWidth="1"/>
    <col min="35" max="35" width="10.5546875" customWidth="1"/>
  </cols>
  <sheetData>
    <row r="1" spans="1:32" ht="25.8" customHeight="1">
      <c r="A1" s="1" t="s">
        <v>463</v>
      </c>
    </row>
    <row r="10" spans="1:32" ht="19.95" customHeight="1"/>
    <row r="14" spans="1:32">
      <c r="W14" s="25"/>
    </row>
    <row r="15" spans="1:32">
      <c r="L15" s="25"/>
    </row>
    <row r="16" spans="1:32" ht="33.6">
      <c r="AE16" s="26" t="s">
        <v>9</v>
      </c>
      <c r="AF16" s="26" t="s">
        <v>15</v>
      </c>
    </row>
    <row r="17" spans="9:44" ht="33.6">
      <c r="L17" s="29" t="s">
        <v>493</v>
      </c>
      <c r="M17" s="29"/>
      <c r="N17" s="29"/>
      <c r="O17" s="29"/>
      <c r="P17" s="29"/>
      <c r="Q17" s="29"/>
      <c r="T17" s="30" t="s">
        <v>494</v>
      </c>
      <c r="U17" s="31"/>
      <c r="V17" s="31"/>
      <c r="W17" s="31"/>
      <c r="X17" s="31"/>
      <c r="Y17" s="31"/>
      <c r="Z17" s="31"/>
      <c r="AE17" s="26" t="s">
        <v>25</v>
      </c>
      <c r="AF17" s="26">
        <v>14495.81</v>
      </c>
    </row>
    <row r="18" spans="9:44" ht="33" customHeight="1">
      <c r="L18" s="28">
        <f>GETPIVOTDATA("Sales",'Pivot Tables'!$A$3)</f>
        <v>236705.46</v>
      </c>
      <c r="M18" s="28"/>
      <c r="N18" s="28"/>
      <c r="O18" s="28"/>
      <c r="P18" s="28"/>
      <c r="Q18" s="28"/>
      <c r="R18" s="6"/>
      <c r="T18" s="32">
        <f>GETPIVOTDATA("Profit",'Pivot Tables'!$D$3)</f>
        <v>43870.36</v>
      </c>
      <c r="U18" s="32"/>
      <c r="V18" s="32"/>
      <c r="W18" s="32"/>
      <c r="X18" s="32"/>
      <c r="Y18" s="32"/>
      <c r="Z18" s="32"/>
      <c r="AE18" s="26" t="s">
        <v>110</v>
      </c>
      <c r="AF18" s="26">
        <v>13776.65</v>
      </c>
    </row>
    <row r="19" spans="9:44" ht="33.6">
      <c r="AE19" s="26" t="s">
        <v>36</v>
      </c>
      <c r="AF19" s="26">
        <v>15597.9</v>
      </c>
    </row>
    <row r="25" spans="9:44"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spans="9:44"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spans="9:44"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spans="9:44"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spans="9:44"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spans="9:44"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spans="9:44"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spans="9:44"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spans="9:44"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spans="9:44"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spans="9:44"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spans="9:44"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spans="9:44"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spans="9:44"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spans="9:44"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spans="9:44"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spans="9:44"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spans="9:44"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spans="9:44"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spans="9:44"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spans="9:44"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spans="9:44"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spans="9:44"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spans="9:44"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spans="9:44"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spans="9:44"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spans="9:44"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spans="9:44"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spans="9:44"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spans="9:44"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spans="9:44"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spans="9:44"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spans="9:44"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spans="9:44"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spans="9:44"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spans="9:44"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spans="9:44"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spans="9:44"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spans="9:44"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spans="9:44"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spans="9:44"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spans="9:44"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spans="9:44"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spans="9:44"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spans="9:44"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spans="9:44"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spans="9:44"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spans="9:44"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spans="9:44"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spans="9:44"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spans="9:44"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spans="9:44"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spans="9:44"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spans="9:44"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spans="9:44"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spans="9:44"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spans="9:44"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spans="9:44"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spans="9:44"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spans="9:44"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spans="9:44"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spans="9:44"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spans="9:44"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spans="9:44"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spans="9:44"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spans="9:44"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spans="9:44"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spans="9:44"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spans="9:44"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spans="9:44"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spans="9:44"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spans="9:44"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</row>
    <row r="97" spans="9:44"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</row>
    <row r="98" spans="9:44"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</row>
  </sheetData>
  <mergeCells count="5">
    <mergeCell ref="I25:AR98"/>
    <mergeCell ref="L17:Q17"/>
    <mergeCell ref="L18:Q18"/>
    <mergeCell ref="T17:Z17"/>
    <mergeCell ref="T18:Z18"/>
  </mergeCells>
  <conditionalFormatting sqref="AF17:AF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:A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Sales_dashboard</vt:lpstr>
      <vt:lpstr>Clean data</vt:lpstr>
      <vt:lpstr>Pivot Tables</vt:lpstr>
      <vt:lpstr>Dashboard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BALAKKAGARI</dc:creator>
  <cp:lastModifiedBy>SRINIDHI BALAKKAGARI</cp:lastModifiedBy>
  <cp:lastPrinted>2026-06-02T17:06:00Z</cp:lastPrinted>
  <dcterms:created xsi:type="dcterms:W3CDTF">2026-06-02T15:56:00Z</dcterms:created>
  <dcterms:modified xsi:type="dcterms:W3CDTF">2026-06-03T13:12:24Z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68E98B797A484D0DB57F7ECBFA8653AB_12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